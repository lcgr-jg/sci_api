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sci_api/"/>
    </mc:Choice>
  </mc:AlternateContent>
  <xr:revisionPtr revIDLastSave="5" documentId="8_{D1486B05-92CA-4337-85C7-DD9DAB20B960}" xr6:coauthVersionLast="47" xr6:coauthVersionMax="47" xr10:uidLastSave="{AEF9C17D-CA7B-45D5-8B89-72AEC8AD864F}"/>
  <bookViews>
    <workbookView xWindow="2940" yWindow="2940" windowWidth="43200" windowHeight="17145" xr2:uid="{1FA8E72E-DD37-472E-87C8-AF86BD6B9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4" i="1" l="1"/>
  <c r="W32" i="1" l="1"/>
  <c r="V32" i="1"/>
  <c r="T32" i="1"/>
  <c r="S32" i="1"/>
  <c r="W31" i="1"/>
  <c r="V31" i="1"/>
  <c r="U31" i="1"/>
  <c r="T31" i="1"/>
  <c r="S31" i="1"/>
  <c r="W30" i="1"/>
  <c r="V30" i="1"/>
  <c r="U30" i="1"/>
  <c r="T30" i="1"/>
  <c r="S30" i="1"/>
  <c r="U29" i="1"/>
  <c r="T29" i="1"/>
  <c r="S29" i="1"/>
  <c r="L29" i="1"/>
  <c r="W29" i="1" s="1"/>
  <c r="K29" i="1"/>
  <c r="V29" i="1" s="1"/>
  <c r="J29" i="1"/>
  <c r="I29" i="1"/>
  <c r="H29" i="1"/>
  <c r="G29" i="1"/>
  <c r="L3" i="1"/>
  <c r="W7" i="1" s="1"/>
  <c r="K3" i="1"/>
  <c r="V5" i="1" s="1"/>
  <c r="J3" i="1"/>
  <c r="U6" i="1" s="1"/>
  <c r="I3" i="1"/>
  <c r="T6" i="1" s="1"/>
  <c r="H3" i="1"/>
  <c r="S7" i="1" s="1"/>
  <c r="F3" i="1"/>
  <c r="G3" i="1" s="1"/>
  <c r="R22" i="1" s="1"/>
  <c r="U32" i="1" l="1"/>
  <c r="T33" i="1"/>
  <c r="R30" i="1"/>
  <c r="R31" i="1"/>
  <c r="R33" i="1"/>
  <c r="U33" i="1"/>
  <c r="R29" i="1"/>
  <c r="V33" i="1"/>
  <c r="R32" i="1"/>
  <c r="S33" i="1"/>
  <c r="W33" i="1"/>
  <c r="R5" i="1"/>
  <c r="T18" i="1"/>
  <c r="W16" i="1"/>
  <c r="U18" i="1"/>
  <c r="V16" i="1"/>
  <c r="S18" i="1"/>
  <c r="V18" i="1"/>
  <c r="S23" i="1"/>
  <c r="R18" i="1"/>
  <c r="W18" i="1"/>
  <c r="R19" i="1"/>
  <c r="S19" i="1"/>
  <c r="S12" i="1"/>
  <c r="V19" i="1"/>
  <c r="W19" i="1"/>
  <c r="W12" i="1"/>
  <c r="T20" i="1"/>
  <c r="V20" i="1"/>
  <c r="V13" i="1"/>
  <c r="S22" i="1"/>
  <c r="S15" i="1"/>
  <c r="V22" i="1"/>
  <c r="R23" i="1"/>
  <c r="W15" i="1"/>
  <c r="R16" i="1"/>
  <c r="T23" i="1"/>
  <c r="T19" i="1"/>
  <c r="T12" i="1"/>
  <c r="U12" i="1"/>
  <c r="V12" i="1"/>
  <c r="S20" i="1"/>
  <c r="U20" i="1"/>
  <c r="W20" i="1"/>
  <c r="W13" i="1"/>
  <c r="R15" i="1"/>
  <c r="U22" i="1"/>
  <c r="U15" i="1"/>
  <c r="V15" i="1"/>
  <c r="U23" i="1"/>
  <c r="T16" i="1"/>
  <c r="V23" i="1"/>
  <c r="R12" i="1"/>
  <c r="U19" i="1"/>
  <c r="R20" i="1"/>
  <c r="R13" i="1"/>
  <c r="S13" i="1"/>
  <c r="T13" i="1"/>
  <c r="U13" i="1"/>
  <c r="T22" i="1"/>
  <c r="T15" i="1"/>
  <c r="W22" i="1"/>
  <c r="S16" i="1"/>
  <c r="U16" i="1"/>
  <c r="W23" i="1"/>
  <c r="R7" i="1"/>
  <c r="R6" i="1"/>
  <c r="T5" i="1"/>
  <c r="U5" i="1"/>
  <c r="W5" i="1"/>
  <c r="S6" i="1"/>
  <c r="V6" i="1"/>
  <c r="W6" i="1"/>
  <c r="T7" i="1"/>
  <c r="U7" i="1"/>
  <c r="V7" i="1"/>
  <c r="S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2" authorId="0" shapeId="0" xr:uid="{0728F826-EA2D-4B21-9BC7-FD5CF92786AA}">
      <text>
        <r>
          <rPr>
            <b/>
            <sz val="11"/>
            <rFont val="Calibri"/>
            <family val="2"/>
            <charset val="134"/>
          </rPr>
          <t>Feedstock Primary Processing Units include Feedstock Pre-treatment Units, Condensate units, Propane Deasphalting Units, Solvent Extraction and Distillate Separation Units and CDUs.</t>
        </r>
      </text>
    </comment>
  </commentList>
</comments>
</file>

<file path=xl/sharedStrings.xml><?xml version="1.0" encoding="utf-8"?>
<sst xmlns="http://schemas.openxmlformats.org/spreadsheetml/2006/main" count="78" uniqueCount="29">
  <si>
    <t>Sub-category</t>
  </si>
  <si>
    <t>Item</t>
  </si>
  <si>
    <t>Unit</t>
  </si>
  <si>
    <t>Processing volume</t>
  </si>
  <si>
    <t>National feedstock primary processing volume (kt)</t>
  </si>
  <si>
    <t>kt</t>
  </si>
  <si>
    <t>SOE feedstock primary processing volume (kt)</t>
  </si>
  <si>
    <t>Independent refinery feedstock primary processing volume (kt)</t>
  </si>
  <si>
    <t>FEEDSTOCK PRIMARY PROCESSING UNITS</t>
  </si>
  <si>
    <t>Anhui</t>
  </si>
  <si>
    <t>Beijing</t>
  </si>
  <si>
    <t>Fujian</t>
  </si>
  <si>
    <t>Gansu</t>
  </si>
  <si>
    <t>Tianjin</t>
  </si>
  <si>
    <t>Sinopec</t>
  </si>
  <si>
    <t>Independent refinery</t>
  </si>
  <si>
    <t>PetroChina</t>
  </si>
  <si>
    <t>LOCAL OIL PRODUCTION</t>
  </si>
  <si>
    <t>Dagang Oilfield</t>
  </si>
  <si>
    <t>Offshore crude</t>
  </si>
  <si>
    <t>CNOOC</t>
  </si>
  <si>
    <t>kbd</t>
  </si>
  <si>
    <t>province</t>
  </si>
  <si>
    <t>equity_owner</t>
  </si>
  <si>
    <t>field_name</t>
  </si>
  <si>
    <t>China via Kazakhstan</t>
  </si>
  <si>
    <t>China via ESPO</t>
  </si>
  <si>
    <t>Breakdown bby provinde and equity owner</t>
  </si>
  <si>
    <t>FSU export To China (from 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</si>
</sst>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mm\-yy;@"/>
    <numFmt numFmtId="165" formatCode="_ * #,##0.00_ ;_ * \-#,##0.00_ ;_ * &quot;-&quot;??_ ;_ @_ "/>
    <numFmt numFmtId="167" formatCode="_-* #,##0_-;\-* #,##0_-;_-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  <charset val="134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5" fontId="1" fillId="0" borderId="0" applyFont="0" applyFill="0" applyBorder="0" applyProtection="0"/>
    <xf numFmtId="0" fontId="1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/>
    </xf>
    <xf numFmtId="0" fontId="3" fillId="2" borderId="2" xfId="2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43" fontId="0" fillId="0" borderId="0" xfId="1" applyFont="1"/>
    <xf numFmtId="0" fontId="2" fillId="0" borderId="1" xfId="2" applyNumberFormat="1" applyFont="1" applyBorder="1" applyAlignment="1">
      <alignment horizontal="center" vertical="center"/>
    </xf>
    <xf numFmtId="4" fontId="2" fillId="0" borderId="1" xfId="3" applyNumberFormat="1" applyFont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4" fontId="5" fillId="0" borderId="1" xfId="3" applyNumberFormat="1" applyFont="1" applyBorder="1" applyAlignment="1">
      <alignment horizontal="center" vertical="center"/>
    </xf>
    <xf numFmtId="0" fontId="6" fillId="0" borderId="0" xfId="0" applyFont="1"/>
    <xf numFmtId="167" fontId="0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1" applyNumberFormat="1" applyFont="1" applyAlignment="1">
      <alignment horizontal="left" indent="1"/>
    </xf>
    <xf numFmtId="0" fontId="5" fillId="0" borderId="1" xfId="2" applyNumberFormat="1" applyFont="1" applyBorder="1" applyAlignment="1">
      <alignment horizontal="left" vertical="center" indent="1"/>
    </xf>
    <xf numFmtId="0" fontId="2" fillId="0" borderId="1" xfId="2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indent="2"/>
    </xf>
    <xf numFmtId="0" fontId="0" fillId="0" borderId="0" xfId="0" applyAlignment="1">
      <alignment horizontal="left" indent="2"/>
    </xf>
    <xf numFmtId="164" fontId="0" fillId="0" borderId="0" xfId="0" applyNumberFormat="1"/>
  </cellXfs>
  <cellStyles count="5">
    <cellStyle name="Comma" xfId="1" builtinId="3"/>
    <cellStyle name="Normal" xfId="0" builtinId="0"/>
    <cellStyle name="千位分隔 3 5" xfId="3" xr:uid="{DF764D22-320B-4AC7-BFFA-CF2AED46A054}"/>
    <cellStyle name="常规 2 3" xfId="2" xr:uid="{9AB34356-3546-4861-8B94-F25318219E50}"/>
    <cellStyle name="常规 3" xfId="4" xr:uid="{45F80310-65B4-4EAD-929F-2C3BA76345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73F4-5CE8-42CA-A99E-FEEFE1B3B0EF}">
  <dimension ref="C3:Z40"/>
  <sheetViews>
    <sheetView tabSelected="1" topLeftCell="A8" workbookViewId="0">
      <selection activeCell="C39" sqref="C39"/>
    </sheetView>
  </sheetViews>
  <sheetFormatPr defaultRowHeight="15"/>
  <cols>
    <col min="3" max="4" width="12.140625" customWidth="1"/>
    <col min="5" max="5" width="61.42578125" bestFit="1" customWidth="1"/>
    <col min="6" max="12" width="12.140625" customWidth="1"/>
    <col min="18" max="24" width="11.5703125" bestFit="1" customWidth="1"/>
  </cols>
  <sheetData>
    <row r="3" spans="3:26">
      <c r="F3" s="4">
        <f>+EOMONTH(G4,-2)+1</f>
        <v>45992</v>
      </c>
      <c r="G3" s="5">
        <f>+G4-F3</f>
        <v>31</v>
      </c>
      <c r="H3" s="5">
        <f>+H4-G4</f>
        <v>31</v>
      </c>
      <c r="I3" s="5">
        <f>+I4-H4</f>
        <v>28</v>
      </c>
      <c r="J3" s="5">
        <f>+J4-I4</f>
        <v>31</v>
      </c>
      <c r="K3" s="5">
        <f>+K4-J4</f>
        <v>30</v>
      </c>
      <c r="L3" s="5">
        <f>+L4-K4</f>
        <v>31</v>
      </c>
    </row>
    <row r="4" spans="3:26">
      <c r="C4" s="3"/>
      <c r="D4" s="3" t="s">
        <v>0</v>
      </c>
      <c r="E4" s="3" t="s">
        <v>1</v>
      </c>
      <c r="F4" s="3" t="s">
        <v>2</v>
      </c>
      <c r="G4" s="4">
        <v>46023</v>
      </c>
      <c r="H4" s="4">
        <v>46054</v>
      </c>
      <c r="I4" s="4">
        <v>46082</v>
      </c>
      <c r="J4" s="4">
        <v>46113</v>
      </c>
      <c r="K4" s="4">
        <v>46143</v>
      </c>
      <c r="L4" s="4">
        <v>46174</v>
      </c>
      <c r="R4" s="4">
        <v>46023</v>
      </c>
      <c r="S4" s="4">
        <v>46054</v>
      </c>
      <c r="T4" s="4">
        <v>46082</v>
      </c>
      <c r="U4" s="4">
        <v>46113</v>
      </c>
      <c r="V4" s="4">
        <v>46143</v>
      </c>
      <c r="W4" s="4">
        <v>46174</v>
      </c>
      <c r="X4" s="4">
        <f>EOMONTH(W4,0)+1</f>
        <v>46204</v>
      </c>
      <c r="Z4" s="19"/>
    </row>
    <row r="5" spans="3:26">
      <c r="C5" s="1"/>
      <c r="D5" s="1" t="s">
        <v>3</v>
      </c>
      <c r="E5" s="16" t="s">
        <v>4</v>
      </c>
      <c r="F5" s="1" t="s">
        <v>5</v>
      </c>
      <c r="G5" s="2">
        <v>63744.299999999996</v>
      </c>
      <c r="H5" s="2">
        <v>60036</v>
      </c>
      <c r="I5" s="2">
        <v>61709.599999999999</v>
      </c>
      <c r="J5" s="2">
        <v>55673.2</v>
      </c>
      <c r="K5" s="2">
        <v>54391.7</v>
      </c>
      <c r="L5" s="2">
        <v>51037.500000000007</v>
      </c>
      <c r="Q5" t="s">
        <v>21</v>
      </c>
      <c r="R5" s="5">
        <f>+G5*7.33/(G$3)</f>
        <v>15072.442548387096</v>
      </c>
      <c r="S5" s="5">
        <f>+H5*7.33/(H$3)</f>
        <v>14195.609032258064</v>
      </c>
      <c r="T5" s="5">
        <f>+I5*7.33/(I$3)</f>
        <v>16154.691714285715</v>
      </c>
      <c r="U5" s="5">
        <f>+J5*7.33/(J$3)</f>
        <v>13164.017935483871</v>
      </c>
      <c r="V5" s="5">
        <f>+K5*7.33/(K$3)</f>
        <v>13289.705366666665</v>
      </c>
      <c r="W5" s="5">
        <f>+L5*7.33/(L$3)</f>
        <v>12067.899193548388</v>
      </c>
    </row>
    <row r="6" spans="3:26">
      <c r="C6" s="1"/>
      <c r="D6" s="1" t="s">
        <v>3</v>
      </c>
      <c r="E6" s="17" t="s">
        <v>6</v>
      </c>
      <c r="F6" s="1" t="s">
        <v>5</v>
      </c>
      <c r="G6" s="2">
        <v>41255</v>
      </c>
      <c r="H6" s="2">
        <v>38672</v>
      </c>
      <c r="I6" s="2">
        <v>39438.699999999997</v>
      </c>
      <c r="J6" s="2">
        <v>35073.1</v>
      </c>
      <c r="K6" s="2">
        <v>34532.300000000003</v>
      </c>
      <c r="L6" s="2">
        <v>33663.4</v>
      </c>
      <c r="Q6" t="s">
        <v>21</v>
      </c>
      <c r="R6" s="5">
        <f>+G6*7.33/(G$3)</f>
        <v>9754.811290322581</v>
      </c>
      <c r="S6" s="5">
        <f>+H6*7.33/(H$3)</f>
        <v>9144.0567741935483</v>
      </c>
      <c r="T6" s="5">
        <f>+I6*7.33/(I$3)</f>
        <v>10324.488249999999</v>
      </c>
      <c r="U6" s="5">
        <f>+J6*7.33/(J$3)</f>
        <v>8293.0910645161293</v>
      </c>
      <c r="V6" s="5">
        <f>+K6*7.33/(K$3)</f>
        <v>8437.3919666666679</v>
      </c>
      <c r="W6" s="5">
        <f>+L6*7.33/(L$3)</f>
        <v>7959.7652258064518</v>
      </c>
    </row>
    <row r="7" spans="3:26">
      <c r="C7" s="1"/>
      <c r="D7" s="1" t="s">
        <v>3</v>
      </c>
      <c r="E7" s="17" t="s">
        <v>7</v>
      </c>
      <c r="F7" s="1" t="s">
        <v>5</v>
      </c>
      <c r="G7" s="2">
        <v>22489.299999999996</v>
      </c>
      <c r="H7" s="2">
        <v>21364</v>
      </c>
      <c r="I7" s="2">
        <v>22270.9</v>
      </c>
      <c r="J7" s="2">
        <v>20600.100000000002</v>
      </c>
      <c r="K7" s="2">
        <v>19859.400000000001</v>
      </c>
      <c r="L7" s="2">
        <v>17374.100000000006</v>
      </c>
      <c r="Q7" t="s">
        <v>21</v>
      </c>
      <c r="R7" s="5">
        <f>+G7*7.33/(G$3)</f>
        <v>5317.6312580645144</v>
      </c>
      <c r="S7" s="5">
        <f>+H7*7.33/(H$3)</f>
        <v>5051.5522580645156</v>
      </c>
      <c r="T7" s="5">
        <f>+I7*7.33/(I$3)</f>
        <v>5830.2034642857152</v>
      </c>
      <c r="U7" s="5">
        <f>+J7*7.33/(J$3)</f>
        <v>4870.9268709677426</v>
      </c>
      <c r="V7" s="5">
        <f>+K7*7.33/(K$3)</f>
        <v>4852.3134</v>
      </c>
      <c r="W7" s="5">
        <f>+L7*7.33/(L$3)</f>
        <v>4108.1339677419373</v>
      </c>
    </row>
    <row r="10" spans="3:26">
      <c r="C10" t="s">
        <v>27</v>
      </c>
    </row>
    <row r="12" spans="3:26">
      <c r="D12" s="6" t="s">
        <v>8</v>
      </c>
      <c r="E12" s="15" t="s">
        <v>9</v>
      </c>
      <c r="F12" s="1" t="s">
        <v>5</v>
      </c>
      <c r="G12" s="7">
        <v>600</v>
      </c>
      <c r="H12" s="7">
        <v>540</v>
      </c>
      <c r="I12" s="7">
        <v>570.5</v>
      </c>
      <c r="J12" s="7">
        <v>550</v>
      </c>
      <c r="K12" s="7">
        <v>580</v>
      </c>
      <c r="L12" s="7">
        <v>560</v>
      </c>
      <c r="Q12" t="s">
        <v>21</v>
      </c>
      <c r="R12" s="5">
        <f t="shared" ref="R12:R13" si="0">+G12*7.33/(G$3)</f>
        <v>141.87096774193549</v>
      </c>
      <c r="S12" s="5">
        <f t="shared" ref="S12:S13" si="1">+H12*7.33/(H$3)</f>
        <v>127.68387096774192</v>
      </c>
      <c r="T12" s="5">
        <f t="shared" ref="T12:T13" si="2">+I12*7.33/(I$3)</f>
        <v>149.34875000000002</v>
      </c>
      <c r="U12" s="5">
        <f t="shared" ref="U12:U13" si="3">+J12*7.33/(J$3)</f>
        <v>130.04838709677421</v>
      </c>
      <c r="V12" s="5">
        <f t="shared" ref="V12:V13" si="4">+K12*7.33/(K$3)</f>
        <v>141.71333333333331</v>
      </c>
      <c r="W12" s="5">
        <f t="shared" ref="W12:W13" si="5">+L12*7.33/(L$3)</f>
        <v>132.41290322580645</v>
      </c>
    </row>
    <row r="13" spans="3:26">
      <c r="D13" s="6"/>
      <c r="E13" s="14" t="s">
        <v>14</v>
      </c>
      <c r="F13" s="1" t="s">
        <v>5</v>
      </c>
      <c r="G13" s="9">
        <v>600</v>
      </c>
      <c r="H13" s="9">
        <v>540</v>
      </c>
      <c r="I13" s="9">
        <v>570.5</v>
      </c>
      <c r="J13" s="9">
        <v>550</v>
      </c>
      <c r="K13" s="9">
        <v>580</v>
      </c>
      <c r="L13" s="9">
        <v>560</v>
      </c>
      <c r="Q13" t="s">
        <v>21</v>
      </c>
      <c r="R13" s="5">
        <f t="shared" si="0"/>
        <v>141.87096774193549</v>
      </c>
      <c r="S13" s="5">
        <f t="shared" si="1"/>
        <v>127.68387096774192</v>
      </c>
      <c r="T13" s="5">
        <f t="shared" si="2"/>
        <v>149.34875000000002</v>
      </c>
      <c r="U13" s="5">
        <f t="shared" si="3"/>
        <v>130.04838709677421</v>
      </c>
      <c r="V13" s="5">
        <f t="shared" si="4"/>
        <v>141.71333333333331</v>
      </c>
      <c r="W13" s="5">
        <f t="shared" si="5"/>
        <v>132.41290322580645</v>
      </c>
    </row>
    <row r="14" spans="3:26">
      <c r="D14" s="6"/>
      <c r="E14" s="6"/>
      <c r="F14" s="6"/>
      <c r="G14" s="7"/>
      <c r="H14" s="7"/>
      <c r="I14" s="7"/>
      <c r="J14" s="7"/>
      <c r="K14" s="7"/>
      <c r="L14" s="7"/>
    </row>
    <row r="15" spans="3:26">
      <c r="D15" s="6" t="s">
        <v>8</v>
      </c>
      <c r="E15" s="15" t="s">
        <v>10</v>
      </c>
      <c r="F15" s="1" t="s">
        <v>5</v>
      </c>
      <c r="G15" s="7">
        <v>680</v>
      </c>
      <c r="H15" s="7">
        <v>640</v>
      </c>
      <c r="I15" s="7">
        <v>659.09999999999991</v>
      </c>
      <c r="J15" s="7">
        <v>570</v>
      </c>
      <c r="K15" s="7">
        <v>570</v>
      </c>
      <c r="L15" s="7">
        <v>572</v>
      </c>
      <c r="Q15" t="s">
        <v>21</v>
      </c>
      <c r="R15" s="5">
        <f t="shared" ref="R15:R16" si="6">+G15*7.33/(G$3)</f>
        <v>160.78709677419354</v>
      </c>
      <c r="S15" s="5">
        <f t="shared" ref="S15:S16" si="7">+H15*7.33/(H$3)</f>
        <v>151.3290322580645</v>
      </c>
      <c r="T15" s="5">
        <f t="shared" ref="T15:T16" si="8">+I15*7.33/(I$3)</f>
        <v>172.54296428571428</v>
      </c>
      <c r="U15" s="5">
        <f t="shared" ref="U15:U16" si="9">+J15*7.33/(J$3)</f>
        <v>134.77741935483871</v>
      </c>
      <c r="V15" s="5">
        <f t="shared" ref="V15:V16" si="10">+K15*7.33/(K$3)</f>
        <v>139.27000000000001</v>
      </c>
      <c r="W15" s="5">
        <f t="shared" ref="W15:W16" si="11">+L15*7.33/(L$3)</f>
        <v>135.25032258064516</v>
      </c>
    </row>
    <row r="16" spans="3:26">
      <c r="D16" s="8"/>
      <c r="E16" s="14" t="s">
        <v>14</v>
      </c>
      <c r="F16" s="1" t="s">
        <v>5</v>
      </c>
      <c r="G16" s="9">
        <v>680</v>
      </c>
      <c r="H16" s="9">
        <v>640</v>
      </c>
      <c r="I16" s="9">
        <v>659.09999999999991</v>
      </c>
      <c r="J16" s="9">
        <v>570</v>
      </c>
      <c r="K16" s="9">
        <v>570</v>
      </c>
      <c r="L16" s="9">
        <v>572</v>
      </c>
      <c r="Q16" t="s">
        <v>21</v>
      </c>
      <c r="R16" s="5">
        <f t="shared" si="6"/>
        <v>160.78709677419354</v>
      </c>
      <c r="S16" s="5">
        <f t="shared" si="7"/>
        <v>151.3290322580645</v>
      </c>
      <c r="T16" s="5">
        <f t="shared" si="8"/>
        <v>172.54296428571428</v>
      </c>
      <c r="U16" s="5">
        <f t="shared" si="9"/>
        <v>134.77741935483871</v>
      </c>
      <c r="V16" s="5">
        <f t="shared" si="10"/>
        <v>139.27000000000001</v>
      </c>
      <c r="W16" s="5">
        <f t="shared" si="11"/>
        <v>135.25032258064516</v>
      </c>
    </row>
    <row r="17" spans="3:23">
      <c r="D17" s="6"/>
      <c r="E17" s="6"/>
      <c r="F17" s="6"/>
      <c r="G17" s="7"/>
      <c r="H17" s="7"/>
      <c r="I17" s="7"/>
      <c r="J17" s="7"/>
      <c r="K17" s="7"/>
      <c r="L17" s="7"/>
    </row>
    <row r="18" spans="3:23">
      <c r="D18" s="6" t="s">
        <v>8</v>
      </c>
      <c r="E18" s="15" t="s">
        <v>11</v>
      </c>
      <c r="F18" s="1" t="s">
        <v>5</v>
      </c>
      <c r="G18" s="7">
        <v>1350</v>
      </c>
      <c r="H18" s="7">
        <v>2190</v>
      </c>
      <c r="I18" s="7">
        <v>1955.6999999999998</v>
      </c>
      <c r="J18" s="7">
        <v>1415.4</v>
      </c>
      <c r="K18" s="7">
        <v>1340</v>
      </c>
      <c r="L18" s="7">
        <v>1805</v>
      </c>
      <c r="Q18" t="s">
        <v>21</v>
      </c>
      <c r="R18" s="5">
        <f t="shared" ref="R18:R20" si="12">+G18*7.33/(G$3)</f>
        <v>319.20967741935482</v>
      </c>
      <c r="S18" s="5">
        <f t="shared" ref="S18:S20" si="13">+H18*7.33/(H$3)</f>
        <v>517.82903225806456</v>
      </c>
      <c r="T18" s="5">
        <f t="shared" ref="T18:T20" si="14">+I18*7.33/(I$3)</f>
        <v>511.97432142857139</v>
      </c>
      <c r="U18" s="5">
        <f t="shared" ref="U18:U20" si="15">+J18*7.33/(J$3)</f>
        <v>334.67361290322583</v>
      </c>
      <c r="V18" s="5">
        <f t="shared" ref="V18:V20" si="16">+K18*7.33/(K$3)</f>
        <v>327.40666666666669</v>
      </c>
      <c r="W18" s="5">
        <f t="shared" ref="W18:W20" si="17">+L18*7.33/(L$3)</f>
        <v>426.7951612903226</v>
      </c>
    </row>
    <row r="19" spans="3:23">
      <c r="D19" s="6"/>
      <c r="E19" s="14" t="s">
        <v>14</v>
      </c>
      <c r="F19" s="1" t="s">
        <v>5</v>
      </c>
      <c r="G19" s="9">
        <v>900</v>
      </c>
      <c r="H19" s="9">
        <v>810</v>
      </c>
      <c r="I19" s="9">
        <v>749.5</v>
      </c>
      <c r="J19" s="9">
        <v>450</v>
      </c>
      <c r="K19" s="9">
        <v>520</v>
      </c>
      <c r="L19" s="9">
        <v>780</v>
      </c>
      <c r="Q19" t="s">
        <v>21</v>
      </c>
      <c r="R19" s="5">
        <f t="shared" si="12"/>
        <v>212.80645161290323</v>
      </c>
      <c r="S19" s="5">
        <f t="shared" si="13"/>
        <v>191.52580645161291</v>
      </c>
      <c r="T19" s="5">
        <f t="shared" si="14"/>
        <v>196.20839285714285</v>
      </c>
      <c r="U19" s="5">
        <f t="shared" si="15"/>
        <v>106.40322580645162</v>
      </c>
      <c r="V19" s="5">
        <f t="shared" si="16"/>
        <v>127.05333333333333</v>
      </c>
      <c r="W19" s="5">
        <f t="shared" si="17"/>
        <v>184.43225806451611</v>
      </c>
    </row>
    <row r="20" spans="3:23">
      <c r="D20" s="6"/>
      <c r="E20" s="14" t="s">
        <v>15</v>
      </c>
      <c r="F20" s="1" t="s">
        <v>5</v>
      </c>
      <c r="G20" s="9">
        <v>450</v>
      </c>
      <c r="H20" s="9">
        <v>1380</v>
      </c>
      <c r="I20" s="9">
        <v>1206.2</v>
      </c>
      <c r="J20" s="9">
        <v>965.40000000000009</v>
      </c>
      <c r="K20" s="9">
        <v>820</v>
      </c>
      <c r="L20" s="9">
        <v>1025</v>
      </c>
      <c r="Q20" t="s">
        <v>21</v>
      </c>
      <c r="R20" s="5">
        <f t="shared" si="12"/>
        <v>106.40322580645162</v>
      </c>
      <c r="S20" s="5">
        <f t="shared" si="13"/>
        <v>326.30322580645162</v>
      </c>
      <c r="T20" s="5">
        <f t="shared" si="14"/>
        <v>315.76592857142856</v>
      </c>
      <c r="U20" s="5">
        <f t="shared" si="15"/>
        <v>228.27038709677421</v>
      </c>
      <c r="V20" s="5">
        <f t="shared" si="16"/>
        <v>200.35333333333335</v>
      </c>
      <c r="W20" s="5">
        <f t="shared" si="17"/>
        <v>242.36290322580646</v>
      </c>
    </row>
    <row r="21" spans="3:23">
      <c r="D21" s="6"/>
      <c r="E21" s="8"/>
      <c r="F21" s="8"/>
      <c r="G21" s="9"/>
      <c r="H21" s="9"/>
      <c r="I21" s="9"/>
      <c r="J21" s="9"/>
      <c r="K21" s="9"/>
      <c r="L21" s="9"/>
    </row>
    <row r="22" spans="3:23">
      <c r="D22" s="6" t="s">
        <v>8</v>
      </c>
      <c r="E22" s="14" t="s">
        <v>12</v>
      </c>
      <c r="F22" s="1" t="s">
        <v>5</v>
      </c>
      <c r="G22" s="7">
        <v>1300</v>
      </c>
      <c r="H22" s="7">
        <v>1180</v>
      </c>
      <c r="I22" s="7">
        <v>1369.9</v>
      </c>
      <c r="J22" s="7">
        <v>1250</v>
      </c>
      <c r="K22" s="7">
        <v>1085</v>
      </c>
      <c r="L22" s="7">
        <v>1105</v>
      </c>
      <c r="Q22" t="s">
        <v>21</v>
      </c>
      <c r="R22" s="5">
        <f t="shared" ref="R22:R23" si="18">+G22*7.33/(G$3)</f>
        <v>307.38709677419354</v>
      </c>
      <c r="S22" s="5">
        <f t="shared" ref="S22:S23" si="19">+H22*7.33/(H$3)</f>
        <v>279.01290322580644</v>
      </c>
      <c r="T22" s="5">
        <f t="shared" ref="T22:T23" si="20">+I22*7.33/(I$3)</f>
        <v>358.62025</v>
      </c>
      <c r="U22" s="5">
        <f t="shared" ref="U22:U23" si="21">+J22*7.33/(J$3)</f>
        <v>295.56451612903226</v>
      </c>
      <c r="V22" s="5">
        <f t="shared" ref="V22:V23" si="22">+K22*7.33/(K$3)</f>
        <v>265.10166666666669</v>
      </c>
      <c r="W22" s="5">
        <f t="shared" ref="W22:W23" si="23">+L22*7.33/(L$3)</f>
        <v>261.27903225806449</v>
      </c>
    </row>
    <row r="23" spans="3:23">
      <c r="D23" s="6"/>
      <c r="E23" s="14" t="s">
        <v>16</v>
      </c>
      <c r="F23" s="1" t="s">
        <v>5</v>
      </c>
      <c r="G23" s="9">
        <v>1300</v>
      </c>
      <c r="H23" s="9">
        <v>1180</v>
      </c>
      <c r="I23" s="9">
        <v>1369.9</v>
      </c>
      <c r="J23" s="9">
        <v>1250</v>
      </c>
      <c r="K23" s="9">
        <v>1085</v>
      </c>
      <c r="L23" s="9">
        <v>1105</v>
      </c>
      <c r="Q23" t="s">
        <v>21</v>
      </c>
      <c r="R23" s="5">
        <f t="shared" si="18"/>
        <v>307.38709677419354</v>
      </c>
      <c r="S23" s="5">
        <f t="shared" si="19"/>
        <v>279.01290322580644</v>
      </c>
      <c r="T23" s="5">
        <f t="shared" si="20"/>
        <v>358.62025</v>
      </c>
      <c r="U23" s="5">
        <f t="shared" si="21"/>
        <v>295.56451612903226</v>
      </c>
      <c r="V23" s="5">
        <f t="shared" si="22"/>
        <v>265.10166666666669</v>
      </c>
      <c r="W23" s="5">
        <f t="shared" si="23"/>
        <v>261.27903225806449</v>
      </c>
    </row>
    <row r="28" spans="3:23">
      <c r="C28" s="10" t="s">
        <v>17</v>
      </c>
    </row>
    <row r="29" spans="3:23">
      <c r="C29" t="s">
        <v>17</v>
      </c>
      <c r="D29" t="s">
        <v>22</v>
      </c>
      <c r="E29" t="s">
        <v>13</v>
      </c>
      <c r="F29" s="1" t="s">
        <v>5</v>
      </c>
      <c r="G29" s="11">
        <f>+G30+G32</f>
        <v>3382</v>
      </c>
      <c r="H29" s="11">
        <f t="shared" ref="H29:L29" si="24">+H30+H32</f>
        <v>3382</v>
      </c>
      <c r="I29" s="11">
        <f t="shared" si="24"/>
        <v>3558.9999999999995</v>
      </c>
      <c r="J29" s="11">
        <f t="shared" si="24"/>
        <v>3434</v>
      </c>
      <c r="K29" s="11">
        <f t="shared" si="24"/>
        <v>3558</v>
      </c>
      <c r="L29" s="11">
        <f t="shared" si="24"/>
        <v>0</v>
      </c>
      <c r="Q29" t="s">
        <v>21</v>
      </c>
      <c r="R29" s="5">
        <f t="shared" ref="R29:R33" si="25">+G29*7.33/(G$3)</f>
        <v>799.67935483870974</v>
      </c>
      <c r="S29" s="5">
        <f t="shared" ref="S29:S33" si="26">+H29*7.33/(H$3)</f>
        <v>799.67935483870974</v>
      </c>
      <c r="T29" s="5">
        <f t="shared" ref="T29:T33" si="27">+I29*7.33/(I$3)</f>
        <v>931.69535714285701</v>
      </c>
      <c r="U29" s="5">
        <f t="shared" ref="U29:U33" si="28">+J29*7.33/(J$3)</f>
        <v>811.97483870967744</v>
      </c>
      <c r="V29" s="5">
        <f t="shared" ref="V29:V33" si="29">+K29*7.33/(K$3)</f>
        <v>869.33799999999997</v>
      </c>
      <c r="W29" s="5">
        <f t="shared" ref="W29:W33" si="30">+L29*7.33/(L$3)</f>
        <v>0</v>
      </c>
    </row>
    <row r="30" spans="3:23">
      <c r="C30" t="s">
        <v>17</v>
      </c>
      <c r="D30" t="s">
        <v>23</v>
      </c>
      <c r="E30" s="12" t="s">
        <v>16</v>
      </c>
      <c r="F30" s="1" t="s">
        <v>5</v>
      </c>
      <c r="G30" s="13">
        <v>315</v>
      </c>
      <c r="H30">
        <v>315</v>
      </c>
      <c r="I30">
        <v>331</v>
      </c>
      <c r="J30">
        <v>320</v>
      </c>
      <c r="K30">
        <v>331</v>
      </c>
      <c r="Q30" t="s">
        <v>21</v>
      </c>
      <c r="R30" s="5">
        <f t="shared" si="25"/>
        <v>74.482258064516117</v>
      </c>
      <c r="S30" s="5">
        <f t="shared" si="26"/>
        <v>74.482258064516117</v>
      </c>
      <c r="T30" s="5">
        <f t="shared" si="27"/>
        <v>86.651071428571427</v>
      </c>
      <c r="U30" s="5">
        <f t="shared" si="28"/>
        <v>75.664516129032251</v>
      </c>
      <c r="V30" s="5">
        <f t="shared" si="29"/>
        <v>80.87433333333334</v>
      </c>
      <c r="W30" s="5">
        <f t="shared" si="30"/>
        <v>0</v>
      </c>
    </row>
    <row r="31" spans="3:23">
      <c r="C31" t="s">
        <v>17</v>
      </c>
      <c r="D31" t="s">
        <v>24</v>
      </c>
      <c r="E31" s="18" t="s">
        <v>18</v>
      </c>
      <c r="F31" s="1" t="s">
        <v>5</v>
      </c>
      <c r="G31" s="13">
        <v>315</v>
      </c>
      <c r="H31">
        <v>315</v>
      </c>
      <c r="I31">
        <v>331</v>
      </c>
      <c r="J31">
        <v>320</v>
      </c>
      <c r="K31">
        <v>331</v>
      </c>
      <c r="Q31" t="s">
        <v>21</v>
      </c>
      <c r="R31" s="5">
        <f t="shared" si="25"/>
        <v>74.482258064516117</v>
      </c>
      <c r="S31" s="5">
        <f t="shared" si="26"/>
        <v>74.482258064516117</v>
      </c>
      <c r="T31" s="5">
        <f t="shared" si="27"/>
        <v>86.651071428571427</v>
      </c>
      <c r="U31" s="5">
        <f t="shared" si="28"/>
        <v>75.664516129032251</v>
      </c>
      <c r="V31" s="5">
        <f t="shared" si="29"/>
        <v>80.87433333333334</v>
      </c>
      <c r="W31" s="5">
        <f t="shared" si="30"/>
        <v>0</v>
      </c>
    </row>
    <row r="32" spans="3:23">
      <c r="C32" t="s">
        <v>17</v>
      </c>
      <c r="D32" t="s">
        <v>23</v>
      </c>
      <c r="E32" s="12" t="s">
        <v>20</v>
      </c>
      <c r="F32" s="1" t="s">
        <v>5</v>
      </c>
      <c r="G32" s="13">
        <v>3067</v>
      </c>
      <c r="H32">
        <v>3067</v>
      </c>
      <c r="I32">
        <v>3227.9999999999995</v>
      </c>
      <c r="J32">
        <v>3114</v>
      </c>
      <c r="K32">
        <v>3227</v>
      </c>
      <c r="Q32" t="s">
        <v>21</v>
      </c>
      <c r="R32" s="5">
        <f t="shared" si="25"/>
        <v>725.1970967741936</v>
      </c>
      <c r="S32" s="5">
        <f t="shared" si="26"/>
        <v>725.1970967741936</v>
      </c>
      <c r="T32" s="5">
        <f t="shared" si="27"/>
        <v>845.04428571428559</v>
      </c>
      <c r="U32" s="5">
        <f t="shared" si="28"/>
        <v>736.31032258064511</v>
      </c>
      <c r="V32" s="5">
        <f t="shared" si="29"/>
        <v>788.46366666666665</v>
      </c>
      <c r="W32" s="5">
        <f t="shared" si="30"/>
        <v>0</v>
      </c>
    </row>
    <row r="33" spans="3:24">
      <c r="C33" t="s">
        <v>17</v>
      </c>
      <c r="D33" t="s">
        <v>24</v>
      </c>
      <c r="E33" s="18" t="s">
        <v>19</v>
      </c>
      <c r="F33" s="1" t="s">
        <v>5</v>
      </c>
      <c r="G33" s="13">
        <v>3067</v>
      </c>
      <c r="H33">
        <v>3067</v>
      </c>
      <c r="I33">
        <v>3227.9999999999995</v>
      </c>
      <c r="J33">
        <v>3114</v>
      </c>
      <c r="K33">
        <v>3227</v>
      </c>
      <c r="Q33" t="s">
        <v>21</v>
      </c>
      <c r="R33" s="5">
        <f t="shared" si="25"/>
        <v>725.1970967741936</v>
      </c>
      <c r="S33" s="5">
        <f t="shared" si="26"/>
        <v>725.1970967741936</v>
      </c>
      <c r="T33" s="5">
        <f t="shared" si="27"/>
        <v>845.04428571428559</v>
      </c>
      <c r="U33" s="5">
        <f t="shared" si="28"/>
        <v>736.31032258064511</v>
      </c>
      <c r="V33" s="5">
        <f t="shared" si="29"/>
        <v>788.46366666666665</v>
      </c>
      <c r="W33" s="5">
        <f t="shared" si="30"/>
        <v>0</v>
      </c>
    </row>
    <row r="38" spans="3:24">
      <c r="C38" s="10" t="s">
        <v>28</v>
      </c>
    </row>
    <row r="39" spans="3:24">
      <c r="E39" t="s">
        <v>25</v>
      </c>
      <c r="Q39" t="s">
        <v>21</v>
      </c>
      <c r="R39" s="5">
        <v>243.999</v>
      </c>
      <c r="S39" s="5">
        <v>243.90199999999999</v>
      </c>
      <c r="T39" s="5">
        <v>243.76300000000001</v>
      </c>
      <c r="U39" s="5">
        <v>243.245</v>
      </c>
      <c r="V39" s="5">
        <v>243.054</v>
      </c>
      <c r="W39" s="5">
        <v>243.07400000000001</v>
      </c>
      <c r="X39" s="5">
        <v>243.054</v>
      </c>
    </row>
    <row r="40" spans="3:24">
      <c r="E40" t="s">
        <v>26</v>
      </c>
      <c r="Q40" t="s">
        <v>21</v>
      </c>
      <c r="R40" s="5">
        <v>604.82100000000003</v>
      </c>
      <c r="S40" s="5">
        <v>606.846</v>
      </c>
      <c r="T40" s="5">
        <v>550.48099999999999</v>
      </c>
      <c r="U40" s="5">
        <v>607.89200000000005</v>
      </c>
      <c r="V40" s="5">
        <v>607.18299999999999</v>
      </c>
      <c r="W40" s="5">
        <v>607.18399999999997</v>
      </c>
      <c r="X40" s="5">
        <v>607.18299999999999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Gaitan</dc:creator>
  <cp:lastModifiedBy>Luis Carlos Gaitan</cp:lastModifiedBy>
  <dcterms:created xsi:type="dcterms:W3CDTF">2026-07-15T15:30:26Z</dcterms:created>
  <dcterms:modified xsi:type="dcterms:W3CDTF">2026-07-15T16:15:38Z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2026-07-15T16:14:59Z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73bc4344-6a8b-4399-aabb-888e4646d93b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