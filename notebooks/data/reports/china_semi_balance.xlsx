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mmm\-yy;@"/>
    <numFmt numFmtId="166" formatCode="_-* #,##0.00_-;\-* #,##0.00_-;_-* &quot;-&quot;??_-;_-@_-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5" fontId="1" fillId="2" borderId="0" applyAlignment="1" pivotButton="0" quotePrefix="0" xfId="0">
      <alignment horizontal="center"/>
    </xf>
    <xf numFmtId="1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W173"/>
  <sheetViews>
    <sheetView workbookViewId="0">
      <selection activeCell="A1" sqref="A1"/>
    </sheetView>
  </sheetViews>
  <sheetFormatPr baseColWidth="8" defaultRowHeight="15"/>
  <cols>
    <col width="28" customWidth="1" min="3" max="3"/>
    <col width="36" customWidth="1" min="4" max="4"/>
    <col width="44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6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3">
      <c r="F3" s="1" t="n">
        <v>45992</v>
      </c>
      <c r="G3" s="2" t="n">
        <v>31</v>
      </c>
      <c r="H3" s="2" t="n">
        <v>28</v>
      </c>
      <c r="I3" s="2" t="n">
        <v>31</v>
      </c>
      <c r="J3" s="2" t="n">
        <v>30</v>
      </c>
      <c r="K3" s="2" t="n">
        <v>31</v>
      </c>
      <c r="L3" s="2" t="n">
        <v>30</v>
      </c>
    </row>
    <row r="4">
      <c r="D4" s="3" t="inlineStr">
        <is>
          <t>Sub-category</t>
        </is>
      </c>
      <c r="E4" s="3" t="inlineStr">
        <is>
          <t>Item</t>
        </is>
      </c>
      <c r="F4" s="3" t="inlineStr">
        <is>
          <t>Unit</t>
        </is>
      </c>
      <c r="G4" s="1" t="n">
        <v>46023</v>
      </c>
      <c r="H4" s="1" t="n">
        <v>46054</v>
      </c>
      <c r="I4" s="1" t="n">
        <v>46082</v>
      </c>
      <c r="J4" s="1" t="n">
        <v>46113</v>
      </c>
      <c r="K4" s="1" t="n">
        <v>46143</v>
      </c>
      <c r="L4" s="1" t="n">
        <v>46174</v>
      </c>
      <c r="R4" s="1" t="n">
        <v>46023</v>
      </c>
      <c r="S4" s="1" t="n">
        <v>46054</v>
      </c>
      <c r="T4" s="1" t="n">
        <v>46082</v>
      </c>
      <c r="U4" s="1" t="n">
        <v>46113</v>
      </c>
      <c r="V4" s="1" t="n">
        <v>46143</v>
      </c>
      <c r="W4" s="1" t="n">
        <v>46174</v>
      </c>
    </row>
    <row r="5">
      <c r="D5" t="inlineStr">
        <is>
          <t>Processing volume</t>
        </is>
      </c>
      <c r="E5" t="inlineStr">
        <is>
          <t>National feedstock primary processing volume (kt)</t>
        </is>
      </c>
      <c r="F5" t="inlineStr">
        <is>
          <t>kt</t>
        </is>
      </c>
      <c r="G5" s="4" t="n">
        <v>63744.3</v>
      </c>
      <c r="H5" s="4" t="n">
        <v>60036</v>
      </c>
      <c r="I5" s="4" t="n">
        <v>61709.60000000001</v>
      </c>
      <c r="J5" s="4" t="n">
        <v>55673.2</v>
      </c>
      <c r="K5" s="4" t="n">
        <v>54391.7</v>
      </c>
      <c r="L5" s="4" t="n">
        <v>51037.5</v>
      </c>
      <c r="Q5" t="inlineStr">
        <is>
          <t>kbd</t>
        </is>
      </c>
      <c r="R5" s="5">
        <f>G5*7.33/(G$3)</f>
        <v/>
      </c>
      <c r="S5" s="5">
        <f>H5*7.33/(H$3)</f>
        <v/>
      </c>
      <c r="T5" s="5">
        <f>I5*7.33/(I$3)</f>
        <v/>
      </c>
      <c r="U5" s="5">
        <f>J5*7.33/(J$3)</f>
        <v/>
      </c>
      <c r="V5" s="5">
        <f>K5*7.33/(K$3)</f>
        <v/>
      </c>
      <c r="W5" s="5">
        <f>L5*7.33/(L$3)</f>
        <v/>
      </c>
    </row>
    <row r="6">
      <c r="D6" t="inlineStr">
        <is>
          <t>Processing volume</t>
        </is>
      </c>
      <c r="E6" t="inlineStr">
        <is>
          <t>SOE feedstock primary processing volume (kt)</t>
        </is>
      </c>
      <c r="F6" t="inlineStr">
        <is>
          <t>kt</t>
        </is>
      </c>
      <c r="G6" s="4" t="n">
        <v>41255</v>
      </c>
      <c r="H6" s="4" t="n">
        <v>38672</v>
      </c>
      <c r="I6" s="4" t="n">
        <v>39438.7</v>
      </c>
      <c r="J6" s="4" t="n">
        <v>35073.1</v>
      </c>
      <c r="K6" s="4" t="n">
        <v>34532.3</v>
      </c>
      <c r="L6" s="4" t="n">
        <v>33663.4</v>
      </c>
      <c r="Q6" t="inlineStr">
        <is>
          <t>kbd</t>
        </is>
      </c>
      <c r="R6" s="5">
        <f>G6*7.33/(G$3)</f>
        <v/>
      </c>
      <c r="S6" s="5">
        <f>H6*7.33/(H$3)</f>
        <v/>
      </c>
      <c r="T6" s="5">
        <f>I6*7.33/(I$3)</f>
        <v/>
      </c>
      <c r="U6" s="5">
        <f>J6*7.33/(J$3)</f>
        <v/>
      </c>
      <c r="V6" s="5">
        <f>K6*7.33/(K$3)</f>
        <v/>
      </c>
      <c r="W6" s="5">
        <f>L6*7.33/(L$3)</f>
        <v/>
      </c>
    </row>
    <row r="7">
      <c r="D7" t="inlineStr">
        <is>
          <t>Processing volume</t>
        </is>
      </c>
      <c r="E7" t="inlineStr">
        <is>
          <t>Independent refinery feedstock primary processing volume (kt)</t>
        </is>
      </c>
      <c r="F7" t="inlineStr">
        <is>
          <t>kt</t>
        </is>
      </c>
      <c r="G7" s="4" t="n">
        <v>22489.3</v>
      </c>
      <c r="H7" s="4" t="n">
        <v>21364</v>
      </c>
      <c r="I7" s="4" t="n">
        <v>22270.9</v>
      </c>
      <c r="J7" s="4" t="n">
        <v>20600.1</v>
      </c>
      <c r="K7" s="4" t="n">
        <v>19859.4</v>
      </c>
      <c r="L7" s="4" t="n">
        <v>17374.1</v>
      </c>
      <c r="Q7" t="inlineStr">
        <is>
          <t>kbd</t>
        </is>
      </c>
      <c r="R7" s="5">
        <f>G7*7.33/(G$3)</f>
        <v/>
      </c>
      <c r="S7" s="5">
        <f>H7*7.33/(H$3)</f>
        <v/>
      </c>
      <c r="T7" s="5">
        <f>I7*7.33/(I$3)</f>
        <v/>
      </c>
      <c r="U7" s="5">
        <f>J7*7.33/(J$3)</f>
        <v/>
      </c>
      <c r="V7" s="5">
        <f>K7*7.33/(K$3)</f>
        <v/>
      </c>
      <c r="W7" s="5">
        <f>L7*7.33/(L$3)</f>
        <v/>
      </c>
    </row>
    <row r="8">
      <c r="C8" s="6" t="inlineStr">
        <is>
          <t>Breakdown by province and equity owner</t>
        </is>
      </c>
    </row>
    <row r="9">
      <c r="D9" t="inlineStr">
        <is>
          <t>FEEDSTOCK PRIMARY PROCESSING UNITS</t>
        </is>
      </c>
      <c r="E9" t="inlineStr">
        <is>
          <t>Anhui</t>
        </is>
      </c>
      <c r="F9" t="inlineStr">
        <is>
          <t>kt</t>
        </is>
      </c>
      <c r="G9" s="4" t="n">
        <v>600</v>
      </c>
      <c r="H9" s="4" t="n">
        <v>540</v>
      </c>
      <c r="I9" s="4" t="n">
        <v>570.5</v>
      </c>
      <c r="J9" s="4" t="n">
        <v>550</v>
      </c>
      <c r="K9" s="4" t="n">
        <v>580</v>
      </c>
      <c r="L9" s="4" t="n">
        <v>560</v>
      </c>
      <c r="Q9" t="inlineStr">
        <is>
          <t>kbd</t>
        </is>
      </c>
      <c r="R9" s="5">
        <f>G9*7.33/(G$3)</f>
        <v/>
      </c>
      <c r="S9" s="5">
        <f>H9*7.33/(H$3)</f>
        <v/>
      </c>
      <c r="T9" s="5">
        <f>I9*7.33/(I$3)</f>
        <v/>
      </c>
      <c r="U9" s="5">
        <f>J9*7.33/(J$3)</f>
        <v/>
      </c>
      <c r="V9" s="5">
        <f>K9*7.33/(K$3)</f>
        <v/>
      </c>
      <c r="W9" s="5">
        <f>L9*7.33/(L$3)</f>
        <v/>
      </c>
    </row>
    <row r="10">
      <c r="E10" t="inlineStr">
        <is>
          <t>Sinopec</t>
        </is>
      </c>
      <c r="F10" t="inlineStr">
        <is>
          <t>kt</t>
        </is>
      </c>
      <c r="G10" s="4" t="n">
        <v>600</v>
      </c>
      <c r="H10" s="4" t="n">
        <v>540</v>
      </c>
      <c r="I10" s="4" t="n">
        <v>570.5</v>
      </c>
      <c r="J10" s="4" t="n">
        <v>550</v>
      </c>
      <c r="K10" s="4" t="n">
        <v>580</v>
      </c>
      <c r="L10" s="4" t="n">
        <v>560</v>
      </c>
      <c r="Q10" t="inlineStr">
        <is>
          <t>kbd</t>
        </is>
      </c>
      <c r="R10" s="5">
        <f>G10*7.33/(G$3)</f>
        <v/>
      </c>
      <c r="S10" s="5">
        <f>H10*7.33/(H$3)</f>
        <v/>
      </c>
      <c r="T10" s="5">
        <f>I10*7.33/(I$3)</f>
        <v/>
      </c>
      <c r="U10" s="5">
        <f>J10*7.33/(J$3)</f>
        <v/>
      </c>
      <c r="V10" s="5">
        <f>K10*7.33/(K$3)</f>
        <v/>
      </c>
      <c r="W10" s="5">
        <f>L10*7.33/(L$3)</f>
        <v/>
      </c>
    </row>
    <row r="11">
      <c r="D11" t="inlineStr">
        <is>
          <t>FEEDSTOCK PRIMARY PROCESSING UNITS</t>
        </is>
      </c>
      <c r="E11" t="inlineStr">
        <is>
          <t>Beijing</t>
        </is>
      </c>
      <c r="F11" t="inlineStr">
        <is>
          <t>kt</t>
        </is>
      </c>
      <c r="G11" s="4" t="n">
        <v>680</v>
      </c>
      <c r="H11" s="4" t="n">
        <v>640</v>
      </c>
      <c r="I11" s="4" t="n">
        <v>659.0999999999999</v>
      </c>
      <c r="J11" s="4" t="n">
        <v>570</v>
      </c>
      <c r="K11" s="4" t="n">
        <v>570</v>
      </c>
      <c r="L11" s="4" t="n">
        <v>572</v>
      </c>
      <c r="Q11" t="inlineStr">
        <is>
          <t>kbd</t>
        </is>
      </c>
      <c r="R11" s="5">
        <f>G11*7.33/(G$3)</f>
        <v/>
      </c>
      <c r="S11" s="5">
        <f>H11*7.33/(H$3)</f>
        <v/>
      </c>
      <c r="T11" s="5">
        <f>I11*7.33/(I$3)</f>
        <v/>
      </c>
      <c r="U11" s="5">
        <f>J11*7.33/(J$3)</f>
        <v/>
      </c>
      <c r="V11" s="5">
        <f>K11*7.33/(K$3)</f>
        <v/>
      </c>
      <c r="W11" s="5">
        <f>L11*7.33/(L$3)</f>
        <v/>
      </c>
    </row>
    <row r="12">
      <c r="E12" t="inlineStr">
        <is>
          <t>Sinopec</t>
        </is>
      </c>
      <c r="F12" t="inlineStr">
        <is>
          <t>kt</t>
        </is>
      </c>
      <c r="G12" s="4" t="n">
        <v>680</v>
      </c>
      <c r="H12" s="4" t="n">
        <v>640</v>
      </c>
      <c r="I12" s="4" t="n">
        <v>659.0999999999999</v>
      </c>
      <c r="J12" s="4" t="n">
        <v>570</v>
      </c>
      <c r="K12" s="4" t="n">
        <v>570</v>
      </c>
      <c r="L12" s="4" t="n">
        <v>572</v>
      </c>
      <c r="Q12" t="inlineStr">
        <is>
          <t>kbd</t>
        </is>
      </c>
      <c r="R12" s="5">
        <f>G12*7.33/(G$3)</f>
        <v/>
      </c>
      <c r="S12" s="5">
        <f>H12*7.33/(H$3)</f>
        <v/>
      </c>
      <c r="T12" s="5">
        <f>I12*7.33/(I$3)</f>
        <v/>
      </c>
      <c r="U12" s="5">
        <f>J12*7.33/(J$3)</f>
        <v/>
      </c>
      <c r="V12" s="5">
        <f>K12*7.33/(K$3)</f>
        <v/>
      </c>
      <c r="W12" s="5">
        <f>L12*7.33/(L$3)</f>
        <v/>
      </c>
    </row>
    <row r="13">
      <c r="D13" t="inlineStr">
        <is>
          <t>FEEDSTOCK PRIMARY PROCESSING UNITS</t>
        </is>
      </c>
      <c r="E13" t="inlineStr">
        <is>
          <t>Fujian</t>
        </is>
      </c>
      <c r="F13" t="inlineStr">
        <is>
          <t>kt</t>
        </is>
      </c>
      <c r="G13" s="4" t="n">
        <v>1350</v>
      </c>
      <c r="H13" s="4" t="n">
        <v>2190</v>
      </c>
      <c r="I13" s="4" t="n">
        <v>1955.7</v>
      </c>
      <c r="J13" s="4" t="n">
        <v>1415.4</v>
      </c>
      <c r="K13" s="4" t="n">
        <v>1340</v>
      </c>
      <c r="L13" s="4" t="n">
        <v>1805</v>
      </c>
      <c r="Q13" t="inlineStr">
        <is>
          <t>kbd</t>
        </is>
      </c>
      <c r="R13" s="5">
        <f>G13*7.33/(G$3)</f>
        <v/>
      </c>
      <c r="S13" s="5">
        <f>H13*7.33/(H$3)</f>
        <v/>
      </c>
      <c r="T13" s="5">
        <f>I13*7.33/(I$3)</f>
        <v/>
      </c>
      <c r="U13" s="5">
        <f>J13*7.33/(J$3)</f>
        <v/>
      </c>
      <c r="V13" s="5">
        <f>K13*7.33/(K$3)</f>
        <v/>
      </c>
      <c r="W13" s="5">
        <f>L13*7.33/(L$3)</f>
        <v/>
      </c>
    </row>
    <row r="14">
      <c r="E14" t="inlineStr">
        <is>
          <t>Sinopec</t>
        </is>
      </c>
      <c r="F14" t="inlineStr">
        <is>
          <t>kt</t>
        </is>
      </c>
      <c r="G14" s="4" t="n">
        <v>900</v>
      </c>
      <c r="H14" s="4" t="n">
        <v>810</v>
      </c>
      <c r="I14" s="4" t="n">
        <v>749.5</v>
      </c>
      <c r="J14" s="4" t="n">
        <v>450</v>
      </c>
      <c r="K14" s="4" t="n">
        <v>520</v>
      </c>
      <c r="L14" s="4" t="n">
        <v>780</v>
      </c>
      <c r="Q14" t="inlineStr">
        <is>
          <t>kbd</t>
        </is>
      </c>
      <c r="R14" s="5">
        <f>G14*7.33/(G$3)</f>
        <v/>
      </c>
      <c r="S14" s="5">
        <f>H14*7.33/(H$3)</f>
        <v/>
      </c>
      <c r="T14" s="5">
        <f>I14*7.33/(I$3)</f>
        <v/>
      </c>
      <c r="U14" s="5">
        <f>J14*7.33/(J$3)</f>
        <v/>
      </c>
      <c r="V14" s="5">
        <f>K14*7.33/(K$3)</f>
        <v/>
      </c>
      <c r="W14" s="5">
        <f>L14*7.33/(L$3)</f>
        <v/>
      </c>
    </row>
    <row r="15">
      <c r="E15" t="inlineStr">
        <is>
          <t>Independent refinery</t>
        </is>
      </c>
      <c r="F15" t="inlineStr">
        <is>
          <t>kt</t>
        </is>
      </c>
      <c r="G15" s="4" t="n">
        <v>450</v>
      </c>
      <c r="H15" s="4" t="n">
        <v>1380</v>
      </c>
      <c r="I15" s="4" t="n">
        <v>1206.2</v>
      </c>
      <c r="J15" s="4" t="n">
        <v>965.4000000000001</v>
      </c>
      <c r="K15" s="4" t="n">
        <v>820</v>
      </c>
      <c r="L15" s="4" t="n">
        <v>1025</v>
      </c>
      <c r="Q15" t="inlineStr">
        <is>
          <t>kbd</t>
        </is>
      </c>
      <c r="R15" s="5">
        <f>G15*7.33/(G$3)</f>
        <v/>
      </c>
      <c r="S15" s="5">
        <f>H15*7.33/(H$3)</f>
        <v/>
      </c>
      <c r="T15" s="5">
        <f>I15*7.33/(I$3)</f>
        <v/>
      </c>
      <c r="U15" s="5">
        <f>J15*7.33/(J$3)</f>
        <v/>
      </c>
      <c r="V15" s="5">
        <f>K15*7.33/(K$3)</f>
        <v/>
      </c>
      <c r="W15" s="5">
        <f>L15*7.33/(L$3)</f>
        <v/>
      </c>
    </row>
    <row r="16">
      <c r="D16" t="inlineStr">
        <is>
          <t>FEEDSTOCK PRIMARY PROCESSING UNITS</t>
        </is>
      </c>
      <c r="E16" t="inlineStr">
        <is>
          <t>Gansu</t>
        </is>
      </c>
      <c r="F16" t="inlineStr">
        <is>
          <t>kt</t>
        </is>
      </c>
      <c r="G16" s="4" t="n">
        <v>1300</v>
      </c>
      <c r="H16" s="4" t="n">
        <v>1180</v>
      </c>
      <c r="I16" s="4" t="n">
        <v>1369.9</v>
      </c>
      <c r="J16" s="4" t="n">
        <v>1250</v>
      </c>
      <c r="K16" s="4" t="n">
        <v>1085</v>
      </c>
      <c r="L16" s="4" t="n">
        <v>1105</v>
      </c>
      <c r="Q16" t="inlineStr">
        <is>
          <t>kbd</t>
        </is>
      </c>
      <c r="R16" s="5">
        <f>G16*7.33/(G$3)</f>
        <v/>
      </c>
      <c r="S16" s="5">
        <f>H16*7.33/(H$3)</f>
        <v/>
      </c>
      <c r="T16" s="5">
        <f>I16*7.33/(I$3)</f>
        <v/>
      </c>
      <c r="U16" s="5">
        <f>J16*7.33/(J$3)</f>
        <v/>
      </c>
      <c r="V16" s="5">
        <f>K16*7.33/(K$3)</f>
        <v/>
      </c>
      <c r="W16" s="5">
        <f>L16*7.33/(L$3)</f>
        <v/>
      </c>
    </row>
    <row r="17">
      <c r="E17" t="inlineStr">
        <is>
          <t>PetroChina</t>
        </is>
      </c>
      <c r="F17" t="inlineStr">
        <is>
          <t>kt</t>
        </is>
      </c>
      <c r="G17" s="4" t="n">
        <v>1300</v>
      </c>
      <c r="H17" s="4" t="n">
        <v>1180</v>
      </c>
      <c r="I17" s="4" t="n">
        <v>1369.9</v>
      </c>
      <c r="J17" s="4" t="n">
        <v>1250</v>
      </c>
      <c r="K17" s="4" t="n">
        <v>1085</v>
      </c>
      <c r="L17" s="4" t="n">
        <v>1105</v>
      </c>
      <c r="Q17" t="inlineStr">
        <is>
          <t>kbd</t>
        </is>
      </c>
      <c r="R17" s="5">
        <f>G17*7.33/(G$3)</f>
        <v/>
      </c>
      <c r="S17" s="5">
        <f>H17*7.33/(H$3)</f>
        <v/>
      </c>
      <c r="T17" s="5">
        <f>I17*7.33/(I$3)</f>
        <v/>
      </c>
      <c r="U17" s="5">
        <f>J17*7.33/(J$3)</f>
        <v/>
      </c>
      <c r="V17" s="5">
        <f>K17*7.33/(K$3)</f>
        <v/>
      </c>
      <c r="W17" s="5">
        <f>L17*7.33/(L$3)</f>
        <v/>
      </c>
    </row>
    <row r="18">
      <c r="D18" t="inlineStr">
        <is>
          <t>FEEDSTOCK PRIMARY PROCESSING UNITS</t>
        </is>
      </c>
      <c r="E18" t="inlineStr">
        <is>
          <t>Guangdong</t>
        </is>
      </c>
      <c r="F18" t="inlineStr">
        <is>
          <t>kt</t>
        </is>
      </c>
      <c r="G18" s="4" t="n">
        <v>7390</v>
      </c>
      <c r="H18" s="4" t="n">
        <v>6930</v>
      </c>
      <c r="I18" s="4" t="n">
        <v>7074</v>
      </c>
      <c r="J18" s="4" t="n">
        <v>6494</v>
      </c>
      <c r="K18" s="4" t="n">
        <v>6620</v>
      </c>
      <c r="L18" s="4" t="n">
        <v>5917</v>
      </c>
      <c r="Q18" t="inlineStr">
        <is>
          <t>kbd</t>
        </is>
      </c>
      <c r="R18" s="5">
        <f>G18*7.33/(G$3)</f>
        <v/>
      </c>
      <c r="S18" s="5">
        <f>H18*7.33/(H$3)</f>
        <v/>
      </c>
      <c r="T18" s="5">
        <f>I18*7.33/(I$3)</f>
        <v/>
      </c>
      <c r="U18" s="5">
        <f>J18*7.33/(J$3)</f>
        <v/>
      </c>
      <c r="V18" s="5">
        <f>K18*7.33/(K$3)</f>
        <v/>
      </c>
      <c r="W18" s="5">
        <f>L18*7.33/(L$3)</f>
        <v/>
      </c>
    </row>
    <row r="19">
      <c r="E19" t="inlineStr">
        <is>
          <t>Sinopec</t>
        </is>
      </c>
      <c r="F19" t="inlineStr">
        <is>
          <t>kt</t>
        </is>
      </c>
      <c r="G19" s="4" t="n">
        <v>3720</v>
      </c>
      <c r="H19" s="4" t="n">
        <v>3460</v>
      </c>
      <c r="I19" s="4" t="n">
        <v>3498.3</v>
      </c>
      <c r="J19" s="4" t="n">
        <v>3215</v>
      </c>
      <c r="K19" s="4" t="n">
        <v>3120</v>
      </c>
      <c r="L19" s="4" t="n">
        <v>2495</v>
      </c>
      <c r="Q19" t="inlineStr">
        <is>
          <t>kbd</t>
        </is>
      </c>
      <c r="R19" s="5">
        <f>G19*7.33/(G$3)</f>
        <v/>
      </c>
      <c r="S19" s="5">
        <f>H19*7.33/(H$3)</f>
        <v/>
      </c>
      <c r="T19" s="5">
        <f>I19*7.33/(I$3)</f>
        <v/>
      </c>
      <c r="U19" s="5">
        <f>J19*7.33/(J$3)</f>
        <v/>
      </c>
      <c r="V19" s="5">
        <f>K19*7.33/(K$3)</f>
        <v/>
      </c>
      <c r="W19" s="5">
        <f>L19*7.33/(L$3)</f>
        <v/>
      </c>
    </row>
    <row r="20">
      <c r="E20" t="inlineStr">
        <is>
          <t>PetroChina</t>
        </is>
      </c>
      <c r="F20" t="inlineStr">
        <is>
          <t>kt</t>
        </is>
      </c>
      <c r="G20" s="4" t="n">
        <v>1770</v>
      </c>
      <c r="H20" s="4" t="n">
        <v>1600</v>
      </c>
      <c r="I20" s="4" t="n">
        <v>1686.5</v>
      </c>
      <c r="J20" s="4" t="n">
        <v>1200</v>
      </c>
      <c r="K20" s="4" t="n">
        <v>1390</v>
      </c>
      <c r="L20" s="4" t="n">
        <v>1390</v>
      </c>
      <c r="Q20" t="inlineStr">
        <is>
          <t>kbd</t>
        </is>
      </c>
      <c r="R20" s="5">
        <f>G20*7.33/(G$3)</f>
        <v/>
      </c>
      <c r="S20" s="5">
        <f>H20*7.33/(H$3)</f>
        <v/>
      </c>
      <c r="T20" s="5">
        <f>I20*7.33/(I$3)</f>
        <v/>
      </c>
      <c r="U20" s="5">
        <f>J20*7.33/(J$3)</f>
        <v/>
      </c>
      <c r="V20" s="5">
        <f>K20*7.33/(K$3)</f>
        <v/>
      </c>
      <c r="W20" s="5">
        <f>L20*7.33/(L$3)</f>
        <v/>
      </c>
    </row>
    <row r="21">
      <c r="E21" t="inlineStr">
        <is>
          <t>CNOOC</t>
        </is>
      </c>
      <c r="F21" t="inlineStr">
        <is>
          <t>kt</t>
        </is>
      </c>
      <c r="G21" s="4" t="n">
        <v>1900</v>
      </c>
      <c r="H21" s="4" t="n">
        <v>1870</v>
      </c>
      <c r="I21" s="4" t="n">
        <v>1889.2</v>
      </c>
      <c r="J21" s="4" t="n">
        <v>1959</v>
      </c>
      <c r="K21" s="4" t="n">
        <v>2010</v>
      </c>
      <c r="L21" s="4" t="n">
        <v>1960</v>
      </c>
      <c r="Q21" t="inlineStr">
        <is>
          <t>kbd</t>
        </is>
      </c>
      <c r="R21" s="5">
        <f>G21*7.33/(G$3)</f>
        <v/>
      </c>
      <c r="S21" s="5">
        <f>H21*7.33/(H$3)</f>
        <v/>
      </c>
      <c r="T21" s="5">
        <f>I21*7.33/(I$3)</f>
        <v/>
      </c>
      <c r="U21" s="5">
        <f>J21*7.33/(J$3)</f>
        <v/>
      </c>
      <c r="V21" s="5">
        <f>K21*7.33/(K$3)</f>
        <v/>
      </c>
      <c r="W21" s="5">
        <f>L21*7.33/(L$3)</f>
        <v/>
      </c>
    </row>
    <row r="22">
      <c r="E22" t="inlineStr">
        <is>
          <t>Independent refinery</t>
        </is>
      </c>
      <c r="F22" t="inlineStr">
        <is>
          <t>kt</t>
        </is>
      </c>
      <c r="G22" s="4" t="n">
        <v>0</v>
      </c>
      <c r="H22" s="4" t="n">
        <v>0</v>
      </c>
      <c r="I22" s="4" t="n">
        <v>0</v>
      </c>
      <c r="J22" s="4" t="n">
        <v>120</v>
      </c>
      <c r="K22" s="4" t="n">
        <v>100</v>
      </c>
      <c r="L22" s="4" t="n">
        <v>72</v>
      </c>
      <c r="Q22" t="inlineStr">
        <is>
          <t>kbd</t>
        </is>
      </c>
      <c r="R22" s="5">
        <f>G22*7.33/(G$3)</f>
        <v/>
      </c>
      <c r="S22" s="5">
        <f>H22*7.33/(H$3)</f>
        <v/>
      </c>
      <c r="T22" s="5">
        <f>I22*7.33/(I$3)</f>
        <v/>
      </c>
      <c r="U22" s="5">
        <f>J22*7.33/(J$3)</f>
        <v/>
      </c>
      <c r="V22" s="5">
        <f>K22*7.33/(K$3)</f>
        <v/>
      </c>
      <c r="W22" s="5">
        <f>L22*7.33/(L$3)</f>
        <v/>
      </c>
    </row>
    <row r="23">
      <c r="D23" t="inlineStr">
        <is>
          <t>FEEDSTOCK PRIMARY PROCESSING UNITS</t>
        </is>
      </c>
      <c r="E23" t="inlineStr">
        <is>
          <t>Guangxi</t>
        </is>
      </c>
      <c r="F23" t="inlineStr">
        <is>
          <t>kt</t>
        </is>
      </c>
      <c r="G23" s="4" t="n">
        <v>1415</v>
      </c>
      <c r="H23" s="4" t="n">
        <v>1300</v>
      </c>
      <c r="I23" s="4" t="n">
        <v>1306.5</v>
      </c>
      <c r="J23" s="4" t="n">
        <v>1220</v>
      </c>
      <c r="K23" s="4" t="n">
        <v>1260</v>
      </c>
      <c r="L23" s="4" t="n">
        <v>1260</v>
      </c>
      <c r="Q23" t="inlineStr">
        <is>
          <t>kbd</t>
        </is>
      </c>
      <c r="R23" s="5">
        <f>G23*7.33/(G$3)</f>
        <v/>
      </c>
      <c r="S23" s="5">
        <f>H23*7.33/(H$3)</f>
        <v/>
      </c>
      <c r="T23" s="5">
        <f>I23*7.33/(I$3)</f>
        <v/>
      </c>
      <c r="U23" s="5">
        <f>J23*7.33/(J$3)</f>
        <v/>
      </c>
      <c r="V23" s="5">
        <f>K23*7.33/(K$3)</f>
        <v/>
      </c>
      <c r="W23" s="5">
        <f>L23*7.33/(L$3)</f>
        <v/>
      </c>
    </row>
    <row r="24">
      <c r="E24" t="inlineStr">
        <is>
          <t>Sinopec</t>
        </is>
      </c>
      <c r="F24" t="inlineStr">
        <is>
          <t>kt</t>
        </is>
      </c>
      <c r="G24" s="4" t="n">
        <v>530</v>
      </c>
      <c r="H24" s="4" t="n">
        <v>500</v>
      </c>
      <c r="I24" s="4" t="n">
        <v>556.5</v>
      </c>
      <c r="J24" s="4" t="n">
        <v>515</v>
      </c>
      <c r="K24" s="4" t="n">
        <v>530</v>
      </c>
      <c r="L24" s="4" t="n">
        <v>520</v>
      </c>
      <c r="Q24" t="inlineStr">
        <is>
          <t>kbd</t>
        </is>
      </c>
      <c r="R24" s="5">
        <f>G24*7.33/(G$3)</f>
        <v/>
      </c>
      <c r="S24" s="5">
        <f>H24*7.33/(H$3)</f>
        <v/>
      </c>
      <c r="T24" s="5">
        <f>I24*7.33/(I$3)</f>
        <v/>
      </c>
      <c r="U24" s="5">
        <f>J24*7.33/(J$3)</f>
        <v/>
      </c>
      <c r="V24" s="5">
        <f>K24*7.33/(K$3)</f>
        <v/>
      </c>
      <c r="W24" s="5">
        <f>L24*7.33/(L$3)</f>
        <v/>
      </c>
    </row>
    <row r="25">
      <c r="E25" t="inlineStr">
        <is>
          <t>PetroChina</t>
        </is>
      </c>
      <c r="F25" t="inlineStr">
        <is>
          <t>kt</t>
        </is>
      </c>
      <c r="G25" s="4" t="n">
        <v>885</v>
      </c>
      <c r="H25" s="4" t="n">
        <v>800</v>
      </c>
      <c r="I25" s="4" t="n">
        <v>750</v>
      </c>
      <c r="J25" s="4" t="n">
        <v>705</v>
      </c>
      <c r="K25" s="4" t="n">
        <v>730</v>
      </c>
      <c r="L25" s="4" t="n">
        <v>740</v>
      </c>
      <c r="Q25" t="inlineStr">
        <is>
          <t>kbd</t>
        </is>
      </c>
      <c r="R25" s="5">
        <f>G25*7.33/(G$3)</f>
        <v/>
      </c>
      <c r="S25" s="5">
        <f>H25*7.33/(H$3)</f>
        <v/>
      </c>
      <c r="T25" s="5">
        <f>I25*7.33/(I$3)</f>
        <v/>
      </c>
      <c r="U25" s="5">
        <f>J25*7.33/(J$3)</f>
        <v/>
      </c>
      <c r="V25" s="5">
        <f>K25*7.33/(K$3)</f>
        <v/>
      </c>
      <c r="W25" s="5">
        <f>L25*7.33/(L$3)</f>
        <v/>
      </c>
    </row>
    <row r="26">
      <c r="D26" t="inlineStr">
        <is>
          <t>FEEDSTOCK PRIMARY PROCESSING UNITS</t>
        </is>
      </c>
      <c r="E26" t="inlineStr">
        <is>
          <t>Hainan</t>
        </is>
      </c>
      <c r="F26" t="inlineStr">
        <is>
          <t>kt</t>
        </is>
      </c>
      <c r="G26" s="4" t="n">
        <v>1295</v>
      </c>
      <c r="H26" s="4" t="n">
        <v>1200</v>
      </c>
      <c r="I26" s="4" t="n">
        <v>1194</v>
      </c>
      <c r="J26" s="4" t="n">
        <v>1070</v>
      </c>
      <c r="K26" s="4" t="n">
        <v>980</v>
      </c>
      <c r="L26" s="4" t="n">
        <v>733</v>
      </c>
      <c r="Q26" t="inlineStr">
        <is>
          <t>kbd</t>
        </is>
      </c>
      <c r="R26" s="5">
        <f>G26*7.33/(G$3)</f>
        <v/>
      </c>
      <c r="S26" s="5">
        <f>H26*7.33/(H$3)</f>
        <v/>
      </c>
      <c r="T26" s="5">
        <f>I26*7.33/(I$3)</f>
        <v/>
      </c>
      <c r="U26" s="5">
        <f>J26*7.33/(J$3)</f>
        <v/>
      </c>
      <c r="V26" s="5">
        <f>K26*7.33/(K$3)</f>
        <v/>
      </c>
      <c r="W26" s="5">
        <f>L26*7.33/(L$3)</f>
        <v/>
      </c>
    </row>
    <row r="27">
      <c r="E27" t="inlineStr">
        <is>
          <t>Sinopec</t>
        </is>
      </c>
      <c r="F27" t="inlineStr">
        <is>
          <t>kt</t>
        </is>
      </c>
      <c r="G27" s="4" t="n">
        <v>850</v>
      </c>
      <c r="H27" s="4" t="n">
        <v>770</v>
      </c>
      <c r="I27" s="4" t="n">
        <v>760</v>
      </c>
      <c r="J27" s="4" t="n">
        <v>820</v>
      </c>
      <c r="K27" s="4" t="n">
        <v>700</v>
      </c>
      <c r="L27" s="4" t="n">
        <v>583</v>
      </c>
      <c r="Q27" t="inlineStr">
        <is>
          <t>kbd</t>
        </is>
      </c>
      <c r="R27" s="5">
        <f>G27*7.33/(G$3)</f>
        <v/>
      </c>
      <c r="S27" s="5">
        <f>H27*7.33/(H$3)</f>
        <v/>
      </c>
      <c r="T27" s="5">
        <f>I27*7.33/(I$3)</f>
        <v/>
      </c>
      <c r="U27" s="5">
        <f>J27*7.33/(J$3)</f>
        <v/>
      </c>
      <c r="V27" s="5">
        <f>K27*7.33/(K$3)</f>
        <v/>
      </c>
      <c r="W27" s="5">
        <f>L27*7.33/(L$3)</f>
        <v/>
      </c>
    </row>
    <row r="28">
      <c r="E28" t="inlineStr">
        <is>
          <t>CNOOC</t>
        </is>
      </c>
      <c r="F28" t="inlineStr">
        <is>
          <t>kt</t>
        </is>
      </c>
      <c r="G28" s="4" t="n">
        <v>145</v>
      </c>
      <c r="H28" s="4" t="n">
        <v>150</v>
      </c>
      <c r="I28" s="4" t="n">
        <v>150</v>
      </c>
      <c r="J28" s="4" t="n">
        <v>10</v>
      </c>
      <c r="K28" s="4" t="n">
        <v>155</v>
      </c>
      <c r="L28" s="4" t="n">
        <v>150</v>
      </c>
      <c r="Q28" t="inlineStr">
        <is>
          <t>kbd</t>
        </is>
      </c>
      <c r="R28" s="5">
        <f>G28*7.33/(G$3)</f>
        <v/>
      </c>
      <c r="S28" s="5">
        <f>H28*7.33/(H$3)</f>
        <v/>
      </c>
      <c r="T28" s="5">
        <f>I28*7.33/(I$3)</f>
        <v/>
      </c>
      <c r="U28" s="5">
        <f>J28*7.33/(J$3)</f>
        <v/>
      </c>
      <c r="V28" s="5">
        <f>K28*7.33/(K$3)</f>
        <v/>
      </c>
      <c r="W28" s="5">
        <f>L28*7.33/(L$3)</f>
        <v/>
      </c>
    </row>
    <row r="29">
      <c r="E29" t="inlineStr">
        <is>
          <t>Independent refinery</t>
        </is>
      </c>
      <c r="F29" t="inlineStr">
        <is>
          <t>kt</t>
        </is>
      </c>
      <c r="G29" s="4" t="n">
        <v>300</v>
      </c>
      <c r="H29" s="4" t="n">
        <v>280</v>
      </c>
      <c r="I29" s="4" t="n">
        <v>284</v>
      </c>
      <c r="J29" s="4" t="n">
        <v>240</v>
      </c>
      <c r="K29" s="4" t="n">
        <v>125</v>
      </c>
      <c r="L29" s="4" t="n">
        <v>0</v>
      </c>
      <c r="Q29" t="inlineStr">
        <is>
          <t>kbd</t>
        </is>
      </c>
      <c r="R29" s="5">
        <f>G29*7.33/(G$3)</f>
        <v/>
      </c>
      <c r="S29" s="5">
        <f>H29*7.33/(H$3)</f>
        <v/>
      </c>
      <c r="T29" s="5">
        <f>I29*7.33/(I$3)</f>
        <v/>
      </c>
      <c r="U29" s="5">
        <f>J29*7.33/(J$3)</f>
        <v/>
      </c>
      <c r="V29" s="5">
        <f>K29*7.33/(K$3)</f>
        <v/>
      </c>
      <c r="W29" s="5">
        <f>L29*7.33/(L$3)</f>
        <v/>
      </c>
    </row>
    <row r="30">
      <c r="D30" t="inlineStr">
        <is>
          <t>FEEDSTOCK PRIMARY PROCESSING UNITS</t>
        </is>
      </c>
      <c r="E30" t="inlineStr">
        <is>
          <t>Hebei</t>
        </is>
      </c>
      <c r="F30" t="inlineStr">
        <is>
          <t>kt</t>
        </is>
      </c>
      <c r="G30" s="4" t="n">
        <v>2480</v>
      </c>
      <c r="H30" s="4" t="n">
        <v>2315</v>
      </c>
      <c r="I30" s="4" t="n">
        <v>1851</v>
      </c>
      <c r="J30" s="4" t="n">
        <v>1277</v>
      </c>
      <c r="K30" s="4" t="n">
        <v>1304</v>
      </c>
      <c r="L30" s="4" t="n">
        <v>1335</v>
      </c>
      <c r="Q30" t="inlineStr">
        <is>
          <t>kbd</t>
        </is>
      </c>
      <c r="R30" s="5">
        <f>G30*7.33/(G$3)</f>
        <v/>
      </c>
      <c r="S30" s="5">
        <f>H30*7.33/(H$3)</f>
        <v/>
      </c>
      <c r="T30" s="5">
        <f>I30*7.33/(I$3)</f>
        <v/>
      </c>
      <c r="U30" s="5">
        <f>J30*7.33/(J$3)</f>
        <v/>
      </c>
      <c r="V30" s="5">
        <f>K30*7.33/(K$3)</f>
        <v/>
      </c>
      <c r="W30" s="5">
        <f>L30*7.33/(L$3)</f>
        <v/>
      </c>
    </row>
    <row r="31">
      <c r="E31" t="inlineStr">
        <is>
          <t>Sinopec</t>
        </is>
      </c>
      <c r="F31" t="inlineStr">
        <is>
          <t>kt</t>
        </is>
      </c>
      <c r="G31" s="4" t="n">
        <v>720</v>
      </c>
      <c r="H31" s="4" t="n">
        <v>640</v>
      </c>
      <c r="I31" s="4" t="n">
        <v>450</v>
      </c>
      <c r="J31" s="4" t="n">
        <v>210</v>
      </c>
      <c r="K31" s="4" t="n">
        <v>240</v>
      </c>
      <c r="L31" s="4" t="n">
        <v>250</v>
      </c>
      <c r="Q31" t="inlineStr">
        <is>
          <t>kbd</t>
        </is>
      </c>
      <c r="R31" s="5">
        <f>G31*7.33/(G$3)</f>
        <v/>
      </c>
      <c r="S31" s="5">
        <f>H31*7.33/(H$3)</f>
        <v/>
      </c>
      <c r="T31" s="5">
        <f>I31*7.33/(I$3)</f>
        <v/>
      </c>
      <c r="U31" s="5">
        <f>J31*7.33/(J$3)</f>
        <v/>
      </c>
      <c r="V31" s="5">
        <f>K31*7.33/(K$3)</f>
        <v/>
      </c>
      <c r="W31" s="5">
        <f>L31*7.33/(L$3)</f>
        <v/>
      </c>
    </row>
    <row r="32">
      <c r="E32" t="inlineStr">
        <is>
          <t>PetroChina</t>
        </is>
      </c>
      <c r="F32" t="inlineStr">
        <is>
          <t>kt</t>
        </is>
      </c>
      <c r="G32" s="4" t="n">
        <v>770</v>
      </c>
      <c r="H32" s="4" t="n">
        <v>750</v>
      </c>
      <c r="I32" s="4" t="n">
        <v>780</v>
      </c>
      <c r="J32" s="4" t="n">
        <v>600</v>
      </c>
      <c r="K32" s="4" t="n">
        <v>600</v>
      </c>
      <c r="L32" s="4" t="n">
        <v>605</v>
      </c>
      <c r="Q32" t="inlineStr">
        <is>
          <t>kbd</t>
        </is>
      </c>
      <c r="R32" s="5">
        <f>G32*7.33/(G$3)</f>
        <v/>
      </c>
      <c r="S32" s="5">
        <f>H32*7.33/(H$3)</f>
        <v/>
      </c>
      <c r="T32" s="5">
        <f>I32*7.33/(I$3)</f>
        <v/>
      </c>
      <c r="U32" s="5">
        <f>J32*7.33/(J$3)</f>
        <v/>
      </c>
      <c r="V32" s="5">
        <f>K32*7.33/(K$3)</f>
        <v/>
      </c>
      <c r="W32" s="5">
        <f>L32*7.33/(L$3)</f>
        <v/>
      </c>
    </row>
    <row r="33">
      <c r="E33" t="inlineStr">
        <is>
          <t>CNOOC</t>
        </is>
      </c>
      <c r="F33" t="inlineStr">
        <is>
          <t>kt</t>
        </is>
      </c>
      <c r="G33" s="4" t="n">
        <v>450</v>
      </c>
      <c r="H33" s="4" t="n">
        <v>440</v>
      </c>
      <c r="I33" s="4" t="n">
        <v>150</v>
      </c>
      <c r="J33" s="4" t="n">
        <v>0</v>
      </c>
      <c r="K33" s="4" t="n">
        <v>0</v>
      </c>
      <c r="L33" s="4" t="n">
        <v>0</v>
      </c>
      <c r="Q33" t="inlineStr">
        <is>
          <t>kbd</t>
        </is>
      </c>
      <c r="R33" s="5">
        <f>G33*7.33/(G$3)</f>
        <v/>
      </c>
      <c r="S33" s="5">
        <f>H33*7.33/(H$3)</f>
        <v/>
      </c>
      <c r="T33" s="5">
        <f>I33*7.33/(I$3)</f>
        <v/>
      </c>
      <c r="U33" s="5">
        <f>J33*7.33/(J$3)</f>
        <v/>
      </c>
      <c r="V33" s="5">
        <f>K33*7.33/(K$3)</f>
        <v/>
      </c>
      <c r="W33" s="5">
        <f>L33*7.33/(L$3)</f>
        <v/>
      </c>
    </row>
    <row r="34">
      <c r="E34" t="inlineStr">
        <is>
          <t>Independent refinery</t>
        </is>
      </c>
      <c r="F34" t="inlineStr">
        <is>
          <t>kt</t>
        </is>
      </c>
      <c r="G34" s="4" t="n">
        <v>540</v>
      </c>
      <c r="H34" s="4" t="n">
        <v>485</v>
      </c>
      <c r="I34" s="4" t="n">
        <v>471</v>
      </c>
      <c r="J34" s="4" t="n">
        <v>467</v>
      </c>
      <c r="K34" s="4" t="n">
        <v>464</v>
      </c>
      <c r="L34" s="4" t="n">
        <v>480</v>
      </c>
      <c r="Q34" t="inlineStr">
        <is>
          <t>kbd</t>
        </is>
      </c>
      <c r="R34" s="5">
        <f>G34*7.33/(G$3)</f>
        <v/>
      </c>
      <c r="S34" s="5">
        <f>H34*7.33/(H$3)</f>
        <v/>
      </c>
      <c r="T34" s="5">
        <f>I34*7.33/(I$3)</f>
        <v/>
      </c>
      <c r="U34" s="5">
        <f>J34*7.33/(J$3)</f>
        <v/>
      </c>
      <c r="V34" s="5">
        <f>K34*7.33/(K$3)</f>
        <v/>
      </c>
      <c r="W34" s="5">
        <f>L34*7.33/(L$3)</f>
        <v/>
      </c>
    </row>
    <row r="35">
      <c r="D35" t="inlineStr">
        <is>
          <t>FEEDSTOCK PRIMARY PROCESSING UNITS</t>
        </is>
      </c>
      <c r="E35" t="inlineStr">
        <is>
          <t>Heilongjiang</t>
        </is>
      </c>
      <c r="F35" t="inlineStr">
        <is>
          <t>kt</t>
        </is>
      </c>
      <c r="G35" s="4" t="n">
        <v>1640</v>
      </c>
      <c r="H35" s="4" t="n">
        <v>1440</v>
      </c>
      <c r="I35" s="4" t="n">
        <v>1620</v>
      </c>
      <c r="J35" s="4" t="n">
        <v>1470.4</v>
      </c>
      <c r="K35" s="4" t="n">
        <v>1510</v>
      </c>
      <c r="L35" s="4" t="n">
        <v>1520</v>
      </c>
      <c r="Q35" t="inlineStr">
        <is>
          <t>kbd</t>
        </is>
      </c>
      <c r="R35" s="5">
        <f>G35*7.33/(G$3)</f>
        <v/>
      </c>
      <c r="S35" s="5">
        <f>H35*7.33/(H$3)</f>
        <v/>
      </c>
      <c r="T35" s="5">
        <f>I35*7.33/(I$3)</f>
        <v/>
      </c>
      <c r="U35" s="5">
        <f>J35*7.33/(J$3)</f>
        <v/>
      </c>
      <c r="V35" s="5">
        <f>K35*7.33/(K$3)</f>
        <v/>
      </c>
      <c r="W35" s="5">
        <f>L35*7.33/(L$3)</f>
        <v/>
      </c>
    </row>
    <row r="36">
      <c r="E36" t="inlineStr">
        <is>
          <t>PetroChina</t>
        </is>
      </c>
      <c r="F36" t="inlineStr">
        <is>
          <t>kt</t>
        </is>
      </c>
      <c r="G36" s="4" t="n">
        <v>1640</v>
      </c>
      <c r="H36" s="4" t="n">
        <v>1440</v>
      </c>
      <c r="I36" s="4" t="n">
        <v>1620</v>
      </c>
      <c r="J36" s="4" t="n">
        <v>1470.4</v>
      </c>
      <c r="K36" s="4" t="n">
        <v>1510</v>
      </c>
      <c r="L36" s="4" t="n">
        <v>1520</v>
      </c>
      <c r="Q36" t="inlineStr">
        <is>
          <t>kbd</t>
        </is>
      </c>
      <c r="R36" s="5">
        <f>G36*7.33/(G$3)</f>
        <v/>
      </c>
      <c r="S36" s="5">
        <f>H36*7.33/(H$3)</f>
        <v/>
      </c>
      <c r="T36" s="5">
        <f>I36*7.33/(I$3)</f>
        <v/>
      </c>
      <c r="U36" s="5">
        <f>J36*7.33/(J$3)</f>
        <v/>
      </c>
      <c r="V36" s="5">
        <f>K36*7.33/(K$3)</f>
        <v/>
      </c>
      <c r="W36" s="5">
        <f>L36*7.33/(L$3)</f>
        <v/>
      </c>
    </row>
    <row r="37">
      <c r="D37" t="inlineStr">
        <is>
          <t>FEEDSTOCK PRIMARY PROCESSING UNITS</t>
        </is>
      </c>
      <c r="E37" t="inlineStr">
        <is>
          <t>Henan</t>
        </is>
      </c>
      <c r="F37" t="inlineStr">
        <is>
          <t>kt</t>
        </is>
      </c>
      <c r="G37" s="4" t="n">
        <v>780</v>
      </c>
      <c r="H37" s="4" t="n">
        <v>780</v>
      </c>
      <c r="I37" s="4" t="n">
        <v>750.4000000000001</v>
      </c>
      <c r="J37" s="4" t="n">
        <v>660</v>
      </c>
      <c r="K37" s="4" t="n">
        <v>697</v>
      </c>
      <c r="L37" s="4" t="n">
        <v>420</v>
      </c>
      <c r="Q37" t="inlineStr">
        <is>
          <t>kbd</t>
        </is>
      </c>
      <c r="R37" s="5">
        <f>G37*7.33/(G$3)</f>
        <v/>
      </c>
      <c r="S37" s="5">
        <f>H37*7.33/(H$3)</f>
        <v/>
      </c>
      <c r="T37" s="5">
        <f>I37*7.33/(I$3)</f>
        <v/>
      </c>
      <c r="U37" s="5">
        <f>J37*7.33/(J$3)</f>
        <v/>
      </c>
      <c r="V37" s="5">
        <f>K37*7.33/(K$3)</f>
        <v/>
      </c>
      <c r="W37" s="5">
        <f>L37*7.33/(L$3)</f>
        <v/>
      </c>
    </row>
    <row r="38">
      <c r="E38" t="inlineStr">
        <is>
          <t>Sinopec</t>
        </is>
      </c>
      <c r="F38" t="inlineStr">
        <is>
          <t>kt</t>
        </is>
      </c>
      <c r="G38" s="4" t="n">
        <v>560</v>
      </c>
      <c r="H38" s="4" t="n">
        <v>560</v>
      </c>
      <c r="I38" s="4" t="n">
        <v>533.4000000000001</v>
      </c>
      <c r="J38" s="4" t="n">
        <v>450</v>
      </c>
      <c r="K38" s="4" t="n">
        <v>480</v>
      </c>
      <c r="L38" s="4" t="n">
        <v>210</v>
      </c>
      <c r="Q38" t="inlineStr">
        <is>
          <t>kbd</t>
        </is>
      </c>
      <c r="R38" s="5">
        <f>G38*7.33/(G$3)</f>
        <v/>
      </c>
      <c r="S38" s="5">
        <f>H38*7.33/(H$3)</f>
        <v/>
      </c>
      <c r="T38" s="5">
        <f>I38*7.33/(I$3)</f>
        <v/>
      </c>
      <c r="U38" s="5">
        <f>J38*7.33/(J$3)</f>
        <v/>
      </c>
      <c r="V38" s="5">
        <f>K38*7.33/(K$3)</f>
        <v/>
      </c>
      <c r="W38" s="5">
        <f>L38*7.33/(L$3)</f>
        <v/>
      </c>
    </row>
    <row r="39">
      <c r="E39" t="inlineStr">
        <is>
          <t>Independent refinery</t>
        </is>
      </c>
      <c r="F39" t="inlineStr">
        <is>
          <t>kt</t>
        </is>
      </c>
      <c r="G39" s="4" t="n">
        <v>220</v>
      </c>
      <c r="H39" s="4" t="n">
        <v>220</v>
      </c>
      <c r="I39" s="4" t="n">
        <v>217</v>
      </c>
      <c r="J39" s="4" t="n">
        <v>210</v>
      </c>
      <c r="K39" s="4" t="n">
        <v>217</v>
      </c>
      <c r="L39" s="4" t="n">
        <v>210</v>
      </c>
      <c r="Q39" t="inlineStr">
        <is>
          <t>kbd</t>
        </is>
      </c>
      <c r="R39" s="5">
        <f>G39*7.33/(G$3)</f>
        <v/>
      </c>
      <c r="S39" s="5">
        <f>H39*7.33/(H$3)</f>
        <v/>
      </c>
      <c r="T39" s="5">
        <f>I39*7.33/(I$3)</f>
        <v/>
      </c>
      <c r="U39" s="5">
        <f>J39*7.33/(J$3)</f>
        <v/>
      </c>
      <c r="V39" s="5">
        <f>K39*7.33/(K$3)</f>
        <v/>
      </c>
      <c r="W39" s="5">
        <f>L39*7.33/(L$3)</f>
        <v/>
      </c>
    </row>
    <row r="40">
      <c r="D40" t="inlineStr">
        <is>
          <t>FEEDSTOCK PRIMARY PROCESSING UNITS</t>
        </is>
      </c>
      <c r="E40" t="inlineStr">
        <is>
          <t>Hubei</t>
        </is>
      </c>
      <c r="F40" t="inlineStr">
        <is>
          <t>kt</t>
        </is>
      </c>
      <c r="G40" s="4" t="n">
        <v>1380</v>
      </c>
      <c r="H40" s="4" t="n">
        <v>1280</v>
      </c>
      <c r="I40" s="4" t="n">
        <v>1350.6</v>
      </c>
      <c r="J40" s="4" t="n">
        <v>1329.2</v>
      </c>
      <c r="K40" s="4" t="n">
        <v>1369</v>
      </c>
      <c r="L40" s="4" t="n">
        <v>1301</v>
      </c>
      <c r="Q40" t="inlineStr">
        <is>
          <t>kbd</t>
        </is>
      </c>
      <c r="R40" s="5">
        <f>G40*7.33/(G$3)</f>
        <v/>
      </c>
      <c r="S40" s="5">
        <f>H40*7.33/(H$3)</f>
        <v/>
      </c>
      <c r="T40" s="5">
        <f>I40*7.33/(I$3)</f>
        <v/>
      </c>
      <c r="U40" s="5">
        <f>J40*7.33/(J$3)</f>
        <v/>
      </c>
      <c r="V40" s="5">
        <f>K40*7.33/(K$3)</f>
        <v/>
      </c>
      <c r="W40" s="5">
        <f>L40*7.33/(L$3)</f>
        <v/>
      </c>
    </row>
    <row r="41">
      <c r="E41" t="inlineStr">
        <is>
          <t>Sinopec</t>
        </is>
      </c>
      <c r="F41" t="inlineStr">
        <is>
          <t>kt</t>
        </is>
      </c>
      <c r="G41" s="4" t="n">
        <v>1090</v>
      </c>
      <c r="H41" s="4" t="n">
        <v>1000</v>
      </c>
      <c r="I41" s="4" t="n">
        <v>1089.8</v>
      </c>
      <c r="J41" s="4" t="n">
        <v>1060</v>
      </c>
      <c r="K41" s="4" t="n">
        <v>1090</v>
      </c>
      <c r="L41" s="4" t="n">
        <v>1065</v>
      </c>
      <c r="Q41" t="inlineStr">
        <is>
          <t>kbd</t>
        </is>
      </c>
      <c r="R41" s="5">
        <f>G41*7.33/(G$3)</f>
        <v/>
      </c>
      <c r="S41" s="5">
        <f>H41*7.33/(H$3)</f>
        <v/>
      </c>
      <c r="T41" s="5">
        <f>I41*7.33/(I$3)</f>
        <v/>
      </c>
      <c r="U41" s="5">
        <f>J41*7.33/(J$3)</f>
        <v/>
      </c>
      <c r="V41" s="5">
        <f>K41*7.33/(K$3)</f>
        <v/>
      </c>
      <c r="W41" s="5">
        <f>L41*7.33/(L$3)</f>
        <v/>
      </c>
    </row>
    <row r="42">
      <c r="E42" t="inlineStr">
        <is>
          <t>Independent refinery</t>
        </is>
      </c>
      <c r="F42" t="inlineStr">
        <is>
          <t>kt</t>
        </is>
      </c>
      <c r="G42" s="4" t="n">
        <v>290</v>
      </c>
      <c r="H42" s="4" t="n">
        <v>280</v>
      </c>
      <c r="I42" s="4" t="n">
        <v>260.8</v>
      </c>
      <c r="J42" s="4" t="n">
        <v>269.2</v>
      </c>
      <c r="K42" s="4" t="n">
        <v>279</v>
      </c>
      <c r="L42" s="4" t="n">
        <v>236</v>
      </c>
      <c r="Q42" t="inlineStr">
        <is>
          <t>kbd</t>
        </is>
      </c>
      <c r="R42" s="5">
        <f>G42*7.33/(G$3)</f>
        <v/>
      </c>
      <c r="S42" s="5">
        <f>H42*7.33/(H$3)</f>
        <v/>
      </c>
      <c r="T42" s="5">
        <f>I42*7.33/(I$3)</f>
        <v/>
      </c>
      <c r="U42" s="5">
        <f>J42*7.33/(J$3)</f>
        <v/>
      </c>
      <c r="V42" s="5">
        <f>K42*7.33/(K$3)</f>
        <v/>
      </c>
      <c r="W42" s="5">
        <f>L42*7.33/(L$3)</f>
        <v/>
      </c>
    </row>
    <row r="43">
      <c r="D43" t="inlineStr">
        <is>
          <t>FEEDSTOCK PRIMARY PROCESSING UNITS</t>
        </is>
      </c>
      <c r="E43" t="inlineStr">
        <is>
          <t>Hunan</t>
        </is>
      </c>
      <c r="F43" t="inlineStr">
        <is>
          <t>kt</t>
        </is>
      </c>
      <c r="G43" s="4" t="n">
        <v>610</v>
      </c>
      <c r="H43" s="4" t="n">
        <v>580</v>
      </c>
      <c r="I43" s="4" t="n">
        <v>561.8</v>
      </c>
      <c r="J43" s="4" t="n">
        <v>590</v>
      </c>
      <c r="K43" s="4" t="n">
        <v>630</v>
      </c>
      <c r="L43" s="4" t="n">
        <v>580</v>
      </c>
      <c r="Q43" t="inlineStr">
        <is>
          <t>kbd</t>
        </is>
      </c>
      <c r="R43" s="5">
        <f>G43*7.33/(G$3)</f>
        <v/>
      </c>
      <c r="S43" s="5">
        <f>H43*7.33/(H$3)</f>
        <v/>
      </c>
      <c r="T43" s="5">
        <f>I43*7.33/(I$3)</f>
        <v/>
      </c>
      <c r="U43" s="5">
        <f>J43*7.33/(J$3)</f>
        <v/>
      </c>
      <c r="V43" s="5">
        <f>K43*7.33/(K$3)</f>
        <v/>
      </c>
      <c r="W43" s="5">
        <f>L43*7.33/(L$3)</f>
        <v/>
      </c>
    </row>
    <row r="44">
      <c r="E44" t="inlineStr">
        <is>
          <t>Sinopec</t>
        </is>
      </c>
      <c r="F44" t="inlineStr">
        <is>
          <t>kt</t>
        </is>
      </c>
      <c r="G44" s="4" t="n">
        <v>610</v>
      </c>
      <c r="H44" s="4" t="n">
        <v>580</v>
      </c>
      <c r="I44" s="4" t="n">
        <v>561.8</v>
      </c>
      <c r="J44" s="4" t="n">
        <v>590</v>
      </c>
      <c r="K44" s="4" t="n">
        <v>630</v>
      </c>
      <c r="L44" s="4" t="n">
        <v>580</v>
      </c>
      <c r="Q44" t="inlineStr">
        <is>
          <t>kbd</t>
        </is>
      </c>
      <c r="R44" s="5">
        <f>G44*7.33/(G$3)</f>
        <v/>
      </c>
      <c r="S44" s="5">
        <f>H44*7.33/(H$3)</f>
        <v/>
      </c>
      <c r="T44" s="5">
        <f>I44*7.33/(I$3)</f>
        <v/>
      </c>
      <c r="U44" s="5">
        <f>J44*7.33/(J$3)</f>
        <v/>
      </c>
      <c r="V44" s="5">
        <f>K44*7.33/(K$3)</f>
        <v/>
      </c>
      <c r="W44" s="5">
        <f>L44*7.33/(L$3)</f>
        <v/>
      </c>
    </row>
    <row r="45">
      <c r="D45" t="inlineStr">
        <is>
          <t>FEEDSTOCK PRIMARY PROCESSING UNITS</t>
        </is>
      </c>
      <c r="E45" t="inlineStr">
        <is>
          <t>Inner Mongolia</t>
        </is>
      </c>
      <c r="F45" t="inlineStr">
        <is>
          <t>kt</t>
        </is>
      </c>
      <c r="G45" s="4" t="n">
        <v>360</v>
      </c>
      <c r="H45" s="4" t="n">
        <v>330</v>
      </c>
      <c r="I45" s="4" t="n">
        <v>379.9</v>
      </c>
      <c r="J45" s="4" t="n">
        <v>360</v>
      </c>
      <c r="K45" s="4" t="n">
        <v>365</v>
      </c>
      <c r="L45" s="4" t="n">
        <v>330</v>
      </c>
      <c r="Q45" t="inlineStr">
        <is>
          <t>kbd</t>
        </is>
      </c>
      <c r="R45" s="5">
        <f>G45*7.33/(G$3)</f>
        <v/>
      </c>
      <c r="S45" s="5">
        <f>H45*7.33/(H$3)</f>
        <v/>
      </c>
      <c r="T45" s="5">
        <f>I45*7.33/(I$3)</f>
        <v/>
      </c>
      <c r="U45" s="5">
        <f>J45*7.33/(J$3)</f>
        <v/>
      </c>
      <c r="V45" s="5">
        <f>K45*7.33/(K$3)</f>
        <v/>
      </c>
      <c r="W45" s="5">
        <f>L45*7.33/(L$3)</f>
        <v/>
      </c>
    </row>
    <row r="46">
      <c r="E46" t="inlineStr">
        <is>
          <t>PetroChina</t>
        </is>
      </c>
      <c r="F46" t="inlineStr">
        <is>
          <t>kt</t>
        </is>
      </c>
      <c r="G46" s="4" t="n">
        <v>360</v>
      </c>
      <c r="H46" s="4" t="n">
        <v>330</v>
      </c>
      <c r="I46" s="4" t="n">
        <v>379.9</v>
      </c>
      <c r="J46" s="4" t="n">
        <v>360</v>
      </c>
      <c r="K46" s="4" t="n">
        <v>365</v>
      </c>
      <c r="L46" s="4" t="n">
        <v>330</v>
      </c>
      <c r="Q46" t="inlineStr">
        <is>
          <t>kbd</t>
        </is>
      </c>
      <c r="R46" s="5">
        <f>G46*7.33/(G$3)</f>
        <v/>
      </c>
      <c r="S46" s="5">
        <f>H46*7.33/(H$3)</f>
        <v/>
      </c>
      <c r="T46" s="5">
        <f>I46*7.33/(I$3)</f>
        <v/>
      </c>
      <c r="U46" s="5">
        <f>J46*7.33/(J$3)</f>
        <v/>
      </c>
      <c r="V46" s="5">
        <f>K46*7.33/(K$3)</f>
        <v/>
      </c>
      <c r="W46" s="5">
        <f>L46*7.33/(L$3)</f>
        <v/>
      </c>
    </row>
    <row r="47">
      <c r="D47" t="inlineStr">
        <is>
          <t>FEEDSTOCK PRIMARY PROCESSING UNITS</t>
        </is>
      </c>
      <c r="E47" t="inlineStr">
        <is>
          <t>Jiangsu</t>
        </is>
      </c>
      <c r="F47" t="inlineStr">
        <is>
          <t>kt</t>
        </is>
      </c>
      <c r="G47" s="4" t="n">
        <v>4470</v>
      </c>
      <c r="H47" s="4" t="n">
        <v>4505</v>
      </c>
      <c r="I47" s="4" t="n">
        <v>4314.1</v>
      </c>
      <c r="J47" s="4" t="n">
        <v>3946</v>
      </c>
      <c r="K47" s="4" t="n">
        <v>2792.4</v>
      </c>
      <c r="L47" s="4" t="n">
        <v>2705.9</v>
      </c>
      <c r="Q47" t="inlineStr">
        <is>
          <t>kbd</t>
        </is>
      </c>
      <c r="R47" s="5">
        <f>G47*7.33/(G$3)</f>
        <v/>
      </c>
      <c r="S47" s="5">
        <f>H47*7.33/(H$3)</f>
        <v/>
      </c>
      <c r="T47" s="5">
        <f>I47*7.33/(I$3)</f>
        <v/>
      </c>
      <c r="U47" s="5">
        <f>J47*7.33/(J$3)</f>
        <v/>
      </c>
      <c r="V47" s="5">
        <f>K47*7.33/(K$3)</f>
        <v/>
      </c>
      <c r="W47" s="5">
        <f>L47*7.33/(L$3)</f>
        <v/>
      </c>
    </row>
    <row r="48">
      <c r="E48" t="inlineStr">
        <is>
          <t>Sinopec</t>
        </is>
      </c>
      <c r="F48" t="inlineStr">
        <is>
          <t>kt</t>
        </is>
      </c>
      <c r="G48" s="4" t="n">
        <v>2460</v>
      </c>
      <c r="H48" s="4" t="n">
        <v>2350</v>
      </c>
      <c r="I48" s="4" t="n">
        <v>2369.7</v>
      </c>
      <c r="J48" s="4" t="n">
        <v>2051.1</v>
      </c>
      <c r="K48" s="4" t="n">
        <v>1276</v>
      </c>
      <c r="L48" s="4" t="n">
        <v>1080</v>
      </c>
      <c r="Q48" t="inlineStr">
        <is>
          <t>kbd</t>
        </is>
      </c>
      <c r="R48" s="5">
        <f>G48*7.33/(G$3)</f>
        <v/>
      </c>
      <c r="S48" s="5">
        <f>H48*7.33/(H$3)</f>
        <v/>
      </c>
      <c r="T48" s="5">
        <f>I48*7.33/(I$3)</f>
        <v/>
      </c>
      <c r="U48" s="5">
        <f>J48*7.33/(J$3)</f>
        <v/>
      </c>
      <c r="V48" s="5">
        <f>K48*7.33/(K$3)</f>
        <v/>
      </c>
      <c r="W48" s="5">
        <f>L48*7.33/(L$3)</f>
        <v/>
      </c>
    </row>
    <row r="49">
      <c r="E49" t="inlineStr">
        <is>
          <t>CNOOC</t>
        </is>
      </c>
      <c r="F49" t="inlineStr">
        <is>
          <t>kt</t>
        </is>
      </c>
      <c r="G49" s="4" t="n">
        <v>380</v>
      </c>
      <c r="H49" s="4" t="n">
        <v>400</v>
      </c>
      <c r="I49" s="4" t="n">
        <v>449.5</v>
      </c>
      <c r="J49" s="4" t="n">
        <v>327.7</v>
      </c>
      <c r="K49" s="4" t="n">
        <v>0</v>
      </c>
      <c r="L49" s="4" t="n">
        <v>167</v>
      </c>
      <c r="Q49" t="inlineStr">
        <is>
          <t>kbd</t>
        </is>
      </c>
      <c r="R49" s="5">
        <f>G49*7.33/(G$3)</f>
        <v/>
      </c>
      <c r="S49" s="5">
        <f>H49*7.33/(H$3)</f>
        <v/>
      </c>
      <c r="T49" s="5">
        <f>I49*7.33/(I$3)</f>
        <v/>
      </c>
      <c r="U49" s="5">
        <f>J49*7.33/(J$3)</f>
        <v/>
      </c>
      <c r="V49" s="5">
        <f>K49*7.33/(K$3)</f>
        <v/>
      </c>
      <c r="W49" s="5">
        <f>L49*7.33/(L$3)</f>
        <v/>
      </c>
    </row>
    <row r="50">
      <c r="E50" t="inlineStr">
        <is>
          <t>Independent refinery</t>
        </is>
      </c>
      <c r="F50" t="inlineStr">
        <is>
          <t>kt</t>
        </is>
      </c>
      <c r="G50" s="4" t="n">
        <v>1630</v>
      </c>
      <c r="H50" s="4" t="n">
        <v>1755</v>
      </c>
      <c r="I50" s="4" t="n">
        <v>1494.9</v>
      </c>
      <c r="J50" s="4" t="n">
        <v>1567.2</v>
      </c>
      <c r="K50" s="4" t="n">
        <v>1516.4</v>
      </c>
      <c r="L50" s="4" t="n">
        <v>1458.9</v>
      </c>
      <c r="Q50" t="inlineStr">
        <is>
          <t>kbd</t>
        </is>
      </c>
      <c r="R50" s="5">
        <f>G50*7.33/(G$3)</f>
        <v/>
      </c>
      <c r="S50" s="5">
        <f>H50*7.33/(H$3)</f>
        <v/>
      </c>
      <c r="T50" s="5">
        <f>I50*7.33/(I$3)</f>
        <v/>
      </c>
      <c r="U50" s="5">
        <f>J50*7.33/(J$3)</f>
        <v/>
      </c>
      <c r="V50" s="5">
        <f>K50*7.33/(K$3)</f>
        <v/>
      </c>
      <c r="W50" s="5">
        <f>L50*7.33/(L$3)</f>
        <v/>
      </c>
    </row>
    <row r="51">
      <c r="D51" t="inlineStr">
        <is>
          <t>FEEDSTOCK PRIMARY PROCESSING UNITS</t>
        </is>
      </c>
      <c r="E51" t="inlineStr">
        <is>
          <t>Jiangxi</t>
        </is>
      </c>
      <c r="F51" t="inlineStr">
        <is>
          <t>kt</t>
        </is>
      </c>
      <c r="G51" s="4" t="n">
        <v>620</v>
      </c>
      <c r="H51" s="4" t="n">
        <v>570</v>
      </c>
      <c r="I51" s="4" t="n">
        <v>579.5</v>
      </c>
      <c r="J51" s="4" t="n">
        <v>540</v>
      </c>
      <c r="K51" s="4" t="n">
        <v>600</v>
      </c>
      <c r="L51" s="4" t="n">
        <v>590</v>
      </c>
      <c r="Q51" t="inlineStr">
        <is>
          <t>kbd</t>
        </is>
      </c>
      <c r="R51" s="5">
        <f>G51*7.33/(G$3)</f>
        <v/>
      </c>
      <c r="S51" s="5">
        <f>H51*7.33/(H$3)</f>
        <v/>
      </c>
      <c r="T51" s="5">
        <f>I51*7.33/(I$3)</f>
        <v/>
      </c>
      <c r="U51" s="5">
        <f>J51*7.33/(J$3)</f>
        <v/>
      </c>
      <c r="V51" s="5">
        <f>K51*7.33/(K$3)</f>
        <v/>
      </c>
      <c r="W51" s="5">
        <f>L51*7.33/(L$3)</f>
        <v/>
      </c>
    </row>
    <row r="52">
      <c r="E52" t="inlineStr">
        <is>
          <t>Sinopec</t>
        </is>
      </c>
      <c r="F52" t="inlineStr">
        <is>
          <t>kt</t>
        </is>
      </c>
      <c r="G52" s="4" t="n">
        <v>620</v>
      </c>
      <c r="H52" s="4" t="n">
        <v>570</v>
      </c>
      <c r="I52" s="4" t="n">
        <v>579.5</v>
      </c>
      <c r="J52" s="4" t="n">
        <v>540</v>
      </c>
      <c r="K52" s="4" t="n">
        <v>600</v>
      </c>
      <c r="L52" s="4" t="n">
        <v>590</v>
      </c>
      <c r="Q52" t="inlineStr">
        <is>
          <t>kbd</t>
        </is>
      </c>
      <c r="R52" s="5">
        <f>G52*7.33/(G$3)</f>
        <v/>
      </c>
      <c r="S52" s="5">
        <f>H52*7.33/(H$3)</f>
        <v/>
      </c>
      <c r="T52" s="5">
        <f>I52*7.33/(I$3)</f>
        <v/>
      </c>
      <c r="U52" s="5">
        <f>J52*7.33/(J$3)</f>
        <v/>
      </c>
      <c r="V52" s="5">
        <f>K52*7.33/(K$3)</f>
        <v/>
      </c>
      <c r="W52" s="5">
        <f>L52*7.33/(L$3)</f>
        <v/>
      </c>
    </row>
    <row r="53">
      <c r="D53" t="inlineStr">
        <is>
          <t>FEEDSTOCK PRIMARY PROCESSING UNITS</t>
        </is>
      </c>
      <c r="E53" t="inlineStr">
        <is>
          <t>Jilin</t>
        </is>
      </c>
      <c r="F53" t="inlineStr">
        <is>
          <t>kt</t>
        </is>
      </c>
      <c r="G53" s="4" t="n">
        <v>865</v>
      </c>
      <c r="H53" s="4" t="n">
        <v>780</v>
      </c>
      <c r="I53" s="4" t="n">
        <v>868</v>
      </c>
      <c r="J53" s="4" t="n">
        <v>751.3</v>
      </c>
      <c r="K53" s="4" t="n">
        <v>780</v>
      </c>
      <c r="L53" s="4" t="n">
        <v>840</v>
      </c>
      <c r="Q53" t="inlineStr">
        <is>
          <t>kbd</t>
        </is>
      </c>
      <c r="R53" s="5">
        <f>G53*7.33/(G$3)</f>
        <v/>
      </c>
      <c r="S53" s="5">
        <f>H53*7.33/(H$3)</f>
        <v/>
      </c>
      <c r="T53" s="5">
        <f>I53*7.33/(I$3)</f>
        <v/>
      </c>
      <c r="U53" s="5">
        <f>J53*7.33/(J$3)</f>
        <v/>
      </c>
      <c r="V53" s="5">
        <f>K53*7.33/(K$3)</f>
        <v/>
      </c>
      <c r="W53" s="5">
        <f>L53*7.33/(L$3)</f>
        <v/>
      </c>
    </row>
    <row r="54">
      <c r="E54" t="inlineStr">
        <is>
          <t>PetroChina</t>
        </is>
      </c>
      <c r="F54" t="inlineStr">
        <is>
          <t>kt</t>
        </is>
      </c>
      <c r="G54" s="4" t="n">
        <v>865</v>
      </c>
      <c r="H54" s="4" t="n">
        <v>780</v>
      </c>
      <c r="I54" s="4" t="n">
        <v>868</v>
      </c>
      <c r="J54" s="4" t="n">
        <v>751.3</v>
      </c>
      <c r="K54" s="4" t="n">
        <v>780</v>
      </c>
      <c r="L54" s="4" t="n">
        <v>840</v>
      </c>
      <c r="Q54" t="inlineStr">
        <is>
          <t>kbd</t>
        </is>
      </c>
      <c r="R54" s="5">
        <f>G54*7.33/(G$3)</f>
        <v/>
      </c>
      <c r="S54" s="5">
        <f>H54*7.33/(H$3)</f>
        <v/>
      </c>
      <c r="T54" s="5">
        <f>I54*7.33/(I$3)</f>
        <v/>
      </c>
      <c r="U54" s="5">
        <f>J54*7.33/(J$3)</f>
        <v/>
      </c>
      <c r="V54" s="5">
        <f>K54*7.33/(K$3)</f>
        <v/>
      </c>
      <c r="W54" s="5">
        <f>L54*7.33/(L$3)</f>
        <v/>
      </c>
    </row>
    <row r="55">
      <c r="D55" t="inlineStr">
        <is>
          <t>FEEDSTOCK PRIMARY PROCESSING UNITS</t>
        </is>
      </c>
      <c r="E55" t="inlineStr">
        <is>
          <t>Liaoning</t>
        </is>
      </c>
      <c r="F55" t="inlineStr">
        <is>
          <t>kt</t>
        </is>
      </c>
      <c r="G55" s="4" t="n">
        <v>7703</v>
      </c>
      <c r="H55" s="4" t="n">
        <v>6945</v>
      </c>
      <c r="I55" s="4" t="n">
        <v>7457.9</v>
      </c>
      <c r="J55" s="4" t="n">
        <v>6457.5</v>
      </c>
      <c r="K55" s="4" t="n">
        <v>6048.4</v>
      </c>
      <c r="L55" s="4" t="n">
        <v>5802.4</v>
      </c>
      <c r="Q55" t="inlineStr">
        <is>
          <t>kbd</t>
        </is>
      </c>
      <c r="R55" s="5">
        <f>G55*7.33/(G$3)</f>
        <v/>
      </c>
      <c r="S55" s="5">
        <f>H55*7.33/(H$3)</f>
        <v/>
      </c>
      <c r="T55" s="5">
        <f>I55*7.33/(I$3)</f>
        <v/>
      </c>
      <c r="U55" s="5">
        <f>J55*7.33/(J$3)</f>
        <v/>
      </c>
      <c r="V55" s="5">
        <f>K55*7.33/(K$3)</f>
        <v/>
      </c>
      <c r="W55" s="5">
        <f>L55*7.33/(L$3)</f>
        <v/>
      </c>
    </row>
    <row r="56">
      <c r="E56" t="inlineStr">
        <is>
          <t>PetroChina</t>
        </is>
      </c>
      <c r="F56" t="inlineStr">
        <is>
          <t>kt</t>
        </is>
      </c>
      <c r="G56" s="4" t="n">
        <v>3945</v>
      </c>
      <c r="H56" s="4" t="n">
        <v>3535</v>
      </c>
      <c r="I56" s="4" t="n">
        <v>3795.1</v>
      </c>
      <c r="J56" s="4" t="n">
        <v>3202.5</v>
      </c>
      <c r="K56" s="4" t="n">
        <v>3190</v>
      </c>
      <c r="L56" s="4" t="n">
        <v>3330</v>
      </c>
      <c r="Q56" t="inlineStr">
        <is>
          <t>kbd</t>
        </is>
      </c>
      <c r="R56" s="5">
        <f>G56*7.33/(G$3)</f>
        <v/>
      </c>
      <c r="S56" s="5">
        <f>H56*7.33/(H$3)</f>
        <v/>
      </c>
      <c r="T56" s="5">
        <f>I56*7.33/(I$3)</f>
        <v/>
      </c>
      <c r="U56" s="5">
        <f>J56*7.33/(J$3)</f>
        <v/>
      </c>
      <c r="V56" s="5">
        <f>K56*7.33/(K$3)</f>
        <v/>
      </c>
      <c r="W56" s="5">
        <f>L56*7.33/(L$3)</f>
        <v/>
      </c>
    </row>
    <row r="57">
      <c r="E57" t="inlineStr">
        <is>
          <t>CNOOC</t>
        </is>
      </c>
      <c r="F57" t="inlineStr">
        <is>
          <t>kt</t>
        </is>
      </c>
      <c r="G57" s="4" t="n">
        <v>80</v>
      </c>
      <c r="H57" s="4" t="n">
        <v>70</v>
      </c>
      <c r="I57" s="4" t="n">
        <v>77.5</v>
      </c>
      <c r="J57" s="4" t="n">
        <v>81.30000000000001</v>
      </c>
      <c r="K57" s="4" t="n">
        <v>84.09999999999999</v>
      </c>
      <c r="L57" s="4" t="n">
        <v>77.40000000000001</v>
      </c>
      <c r="Q57" t="inlineStr">
        <is>
          <t>kbd</t>
        </is>
      </c>
      <c r="R57" s="5">
        <f>G57*7.33/(G$3)</f>
        <v/>
      </c>
      <c r="S57" s="5">
        <f>H57*7.33/(H$3)</f>
        <v/>
      </c>
      <c r="T57" s="5">
        <f>I57*7.33/(I$3)</f>
        <v/>
      </c>
      <c r="U57" s="5">
        <f>J57*7.33/(J$3)</f>
        <v/>
      </c>
      <c r="V57" s="5">
        <f>K57*7.33/(K$3)</f>
        <v/>
      </c>
      <c r="W57" s="5">
        <f>L57*7.33/(L$3)</f>
        <v/>
      </c>
    </row>
    <row r="58">
      <c r="E58" t="inlineStr">
        <is>
          <t>Independent refinery</t>
        </is>
      </c>
      <c r="F58" t="inlineStr">
        <is>
          <t>kt</t>
        </is>
      </c>
      <c r="G58" s="4" t="n">
        <v>3678</v>
      </c>
      <c r="H58" s="4" t="n">
        <v>3340</v>
      </c>
      <c r="I58" s="4" t="n">
        <v>3585.3</v>
      </c>
      <c r="J58" s="4" t="n">
        <v>3173.7</v>
      </c>
      <c r="K58" s="4" t="n">
        <v>2774.3</v>
      </c>
      <c r="L58" s="4" t="n">
        <v>2395</v>
      </c>
      <c r="Q58" t="inlineStr">
        <is>
          <t>kbd</t>
        </is>
      </c>
      <c r="R58" s="5">
        <f>G58*7.33/(G$3)</f>
        <v/>
      </c>
      <c r="S58" s="5">
        <f>H58*7.33/(H$3)</f>
        <v/>
      </c>
      <c r="T58" s="5">
        <f>I58*7.33/(I$3)</f>
        <v/>
      </c>
      <c r="U58" s="5">
        <f>J58*7.33/(J$3)</f>
        <v/>
      </c>
      <c r="V58" s="5">
        <f>K58*7.33/(K$3)</f>
        <v/>
      </c>
      <c r="W58" s="5">
        <f>L58*7.33/(L$3)</f>
        <v/>
      </c>
    </row>
    <row r="59">
      <c r="D59" t="inlineStr">
        <is>
          <t>FEEDSTOCK PRIMARY PROCESSING UNITS</t>
        </is>
      </c>
      <c r="E59" t="inlineStr">
        <is>
          <t>Ningxia</t>
        </is>
      </c>
      <c r="F59" t="inlineStr">
        <is>
          <t>kt</t>
        </is>
      </c>
      <c r="G59" s="4" t="n">
        <v>425</v>
      </c>
      <c r="H59" s="4" t="n">
        <v>425</v>
      </c>
      <c r="I59" s="4" t="n">
        <v>516.1999999999999</v>
      </c>
      <c r="J59" s="4" t="n">
        <v>450</v>
      </c>
      <c r="K59" s="4" t="n">
        <v>464</v>
      </c>
      <c r="L59" s="4" t="n">
        <v>457</v>
      </c>
      <c r="Q59" t="inlineStr">
        <is>
          <t>kbd</t>
        </is>
      </c>
      <c r="R59" s="5">
        <f>G59*7.33/(G$3)</f>
        <v/>
      </c>
      <c r="S59" s="5">
        <f>H59*7.33/(H$3)</f>
        <v/>
      </c>
      <c r="T59" s="5">
        <f>I59*7.33/(I$3)</f>
        <v/>
      </c>
      <c r="U59" s="5">
        <f>J59*7.33/(J$3)</f>
        <v/>
      </c>
      <c r="V59" s="5">
        <f>K59*7.33/(K$3)</f>
        <v/>
      </c>
      <c r="W59" s="5">
        <f>L59*7.33/(L$3)</f>
        <v/>
      </c>
    </row>
    <row r="60">
      <c r="E60" t="inlineStr">
        <is>
          <t>PetroChina</t>
        </is>
      </c>
      <c r="F60" t="inlineStr">
        <is>
          <t>kt</t>
        </is>
      </c>
      <c r="G60" s="4" t="n">
        <v>350</v>
      </c>
      <c r="H60" s="4" t="n">
        <v>315</v>
      </c>
      <c r="I60" s="4" t="n">
        <v>349.8</v>
      </c>
      <c r="J60" s="4" t="n">
        <v>330</v>
      </c>
      <c r="K60" s="4" t="n">
        <v>340</v>
      </c>
      <c r="L60" s="4" t="n">
        <v>337</v>
      </c>
      <c r="Q60" t="inlineStr">
        <is>
          <t>kbd</t>
        </is>
      </c>
      <c r="R60" s="5">
        <f>G60*7.33/(G$3)</f>
        <v/>
      </c>
      <c r="S60" s="5">
        <f>H60*7.33/(H$3)</f>
        <v/>
      </c>
      <c r="T60" s="5">
        <f>I60*7.33/(I$3)</f>
        <v/>
      </c>
      <c r="U60" s="5">
        <f>J60*7.33/(J$3)</f>
        <v/>
      </c>
      <c r="V60" s="5">
        <f>K60*7.33/(K$3)</f>
        <v/>
      </c>
      <c r="W60" s="5">
        <f>L60*7.33/(L$3)</f>
        <v/>
      </c>
    </row>
    <row r="61">
      <c r="E61" t="inlineStr">
        <is>
          <t>Independent refinery</t>
        </is>
      </c>
      <c r="F61" t="inlineStr">
        <is>
          <t>kt</t>
        </is>
      </c>
      <c r="G61" s="4" t="n">
        <v>75</v>
      </c>
      <c r="H61" s="4" t="n">
        <v>110</v>
      </c>
      <c r="I61" s="4" t="n">
        <v>166.4</v>
      </c>
      <c r="J61" s="4" t="n">
        <v>120</v>
      </c>
      <c r="K61" s="4" t="n">
        <v>124</v>
      </c>
      <c r="L61" s="4" t="n">
        <v>120</v>
      </c>
      <c r="Q61" t="inlineStr">
        <is>
          <t>kbd</t>
        </is>
      </c>
      <c r="R61" s="5">
        <f>G61*7.33/(G$3)</f>
        <v/>
      </c>
      <c r="S61" s="5">
        <f>H61*7.33/(H$3)</f>
        <v/>
      </c>
      <c r="T61" s="5">
        <f>I61*7.33/(I$3)</f>
        <v/>
      </c>
      <c r="U61" s="5">
        <f>J61*7.33/(J$3)</f>
        <v/>
      </c>
      <c r="V61" s="5">
        <f>K61*7.33/(K$3)</f>
        <v/>
      </c>
      <c r="W61" s="5">
        <f>L61*7.33/(L$3)</f>
        <v/>
      </c>
    </row>
    <row r="62">
      <c r="D62" t="inlineStr">
        <is>
          <t>FEEDSTOCK PRIMARY PROCESSING UNITS</t>
        </is>
      </c>
      <c r="E62" t="inlineStr">
        <is>
          <t>Qinghai</t>
        </is>
      </c>
      <c r="F62" t="inlineStr">
        <is>
          <t>kt</t>
        </is>
      </c>
      <c r="G62" s="4" t="n">
        <v>130</v>
      </c>
      <c r="H62" s="4" t="n">
        <v>120</v>
      </c>
      <c r="I62" s="4" t="n">
        <v>131.9</v>
      </c>
      <c r="J62" s="4" t="n">
        <v>128</v>
      </c>
      <c r="K62" s="4" t="n">
        <v>130</v>
      </c>
      <c r="L62" s="4" t="n">
        <v>128</v>
      </c>
      <c r="Q62" t="inlineStr">
        <is>
          <t>kbd</t>
        </is>
      </c>
      <c r="R62" s="5">
        <f>G62*7.33/(G$3)</f>
        <v/>
      </c>
      <c r="S62" s="5">
        <f>H62*7.33/(H$3)</f>
        <v/>
      </c>
      <c r="T62" s="5">
        <f>I62*7.33/(I$3)</f>
        <v/>
      </c>
      <c r="U62" s="5">
        <f>J62*7.33/(J$3)</f>
        <v/>
      </c>
      <c r="V62" s="5">
        <f>K62*7.33/(K$3)</f>
        <v/>
      </c>
      <c r="W62" s="5">
        <f>L62*7.33/(L$3)</f>
        <v/>
      </c>
    </row>
    <row r="63">
      <c r="E63" t="inlineStr">
        <is>
          <t>PetroChina</t>
        </is>
      </c>
      <c r="F63" t="inlineStr">
        <is>
          <t>kt</t>
        </is>
      </c>
      <c r="G63" s="4" t="n">
        <v>130</v>
      </c>
      <c r="H63" s="4" t="n">
        <v>120</v>
      </c>
      <c r="I63" s="4" t="n">
        <v>131.9</v>
      </c>
      <c r="J63" s="4" t="n">
        <v>128</v>
      </c>
      <c r="K63" s="4" t="n">
        <v>130</v>
      </c>
      <c r="L63" s="4" t="n">
        <v>128</v>
      </c>
      <c r="Q63" t="inlineStr">
        <is>
          <t>kbd</t>
        </is>
      </c>
      <c r="R63" s="5">
        <f>G63*7.33/(G$3)</f>
        <v/>
      </c>
      <c r="S63" s="5">
        <f>H63*7.33/(H$3)</f>
        <v/>
      </c>
      <c r="T63" s="5">
        <f>I63*7.33/(I$3)</f>
        <v/>
      </c>
      <c r="U63" s="5">
        <f>J63*7.33/(J$3)</f>
        <v/>
      </c>
      <c r="V63" s="5">
        <f>K63*7.33/(K$3)</f>
        <v/>
      </c>
      <c r="W63" s="5">
        <f>L63*7.33/(L$3)</f>
        <v/>
      </c>
    </row>
    <row r="64">
      <c r="D64" t="inlineStr">
        <is>
          <t>FEEDSTOCK PRIMARY PROCESSING UNITS</t>
        </is>
      </c>
      <c r="E64" t="inlineStr">
        <is>
          <t>Shaanxi</t>
        </is>
      </c>
      <c r="F64" t="inlineStr">
        <is>
          <t>kt</t>
        </is>
      </c>
      <c r="G64" s="4" t="n">
        <v>1715.3</v>
      </c>
      <c r="H64" s="4" t="n">
        <v>1525</v>
      </c>
      <c r="I64" s="4" t="n">
        <v>1749</v>
      </c>
      <c r="J64" s="4" t="n">
        <v>1655.3</v>
      </c>
      <c r="K64" s="4" t="n">
        <v>1623</v>
      </c>
      <c r="L64" s="4" t="n">
        <v>1635.1</v>
      </c>
      <c r="Q64" t="inlineStr">
        <is>
          <t>kbd</t>
        </is>
      </c>
      <c r="R64" s="5">
        <f>G64*7.33/(G$3)</f>
        <v/>
      </c>
      <c r="S64" s="5">
        <f>H64*7.33/(H$3)</f>
        <v/>
      </c>
      <c r="T64" s="5">
        <f>I64*7.33/(I$3)</f>
        <v/>
      </c>
      <c r="U64" s="5">
        <f>J64*7.33/(J$3)</f>
        <v/>
      </c>
      <c r="V64" s="5">
        <f>K64*7.33/(K$3)</f>
        <v/>
      </c>
      <c r="W64" s="5">
        <f>L64*7.33/(L$3)</f>
        <v/>
      </c>
    </row>
    <row r="65">
      <c r="E65" t="inlineStr">
        <is>
          <t>PetroChina</t>
        </is>
      </c>
      <c r="F65" t="inlineStr">
        <is>
          <t>kt</t>
        </is>
      </c>
      <c r="G65" s="4" t="n">
        <v>440</v>
      </c>
      <c r="H65" s="4" t="n">
        <v>385</v>
      </c>
      <c r="I65" s="4" t="n">
        <v>439.9</v>
      </c>
      <c r="J65" s="4" t="n">
        <v>425</v>
      </c>
      <c r="K65" s="4" t="n">
        <v>380</v>
      </c>
      <c r="L65" s="4" t="n">
        <v>380</v>
      </c>
      <c r="Q65" t="inlineStr">
        <is>
          <t>kbd</t>
        </is>
      </c>
      <c r="R65" s="5">
        <f>G65*7.33/(G$3)</f>
        <v/>
      </c>
      <c r="S65" s="5">
        <f>H65*7.33/(H$3)</f>
        <v/>
      </c>
      <c r="T65" s="5">
        <f>I65*7.33/(I$3)</f>
        <v/>
      </c>
      <c r="U65" s="5">
        <f>J65*7.33/(J$3)</f>
        <v/>
      </c>
      <c r="V65" s="5">
        <f>K65*7.33/(K$3)</f>
        <v/>
      </c>
      <c r="W65" s="5">
        <f>L65*7.33/(L$3)</f>
        <v/>
      </c>
    </row>
    <row r="66">
      <c r="E66" t="inlineStr">
        <is>
          <t>Independent refinery</t>
        </is>
      </c>
      <c r="F66" t="inlineStr">
        <is>
          <t>kt</t>
        </is>
      </c>
      <c r="G66" s="4" t="n">
        <v>1275.3</v>
      </c>
      <c r="H66" s="4" t="n">
        <v>1140</v>
      </c>
      <c r="I66" s="4" t="n">
        <v>1309.1</v>
      </c>
      <c r="J66" s="4" t="n">
        <v>1230.3</v>
      </c>
      <c r="K66" s="4" t="n">
        <v>1243</v>
      </c>
      <c r="L66" s="4" t="n">
        <v>1255.1</v>
      </c>
      <c r="Q66" t="inlineStr">
        <is>
          <t>kbd</t>
        </is>
      </c>
      <c r="R66" s="5">
        <f>G66*7.33/(G$3)</f>
        <v/>
      </c>
      <c r="S66" s="5">
        <f>H66*7.33/(H$3)</f>
        <v/>
      </c>
      <c r="T66" s="5">
        <f>I66*7.33/(I$3)</f>
        <v/>
      </c>
      <c r="U66" s="5">
        <f>J66*7.33/(J$3)</f>
        <v/>
      </c>
      <c r="V66" s="5">
        <f>K66*7.33/(K$3)</f>
        <v/>
      </c>
      <c r="W66" s="5">
        <f>L66*7.33/(L$3)</f>
        <v/>
      </c>
    </row>
    <row r="67">
      <c r="D67" t="inlineStr">
        <is>
          <t>FEEDSTOCK PRIMARY PROCESSING UNITS</t>
        </is>
      </c>
      <c r="E67" t="inlineStr">
        <is>
          <t>Shandong</t>
        </is>
      </c>
      <c r="F67" t="inlineStr">
        <is>
          <t>kt</t>
        </is>
      </c>
      <c r="G67" s="4" t="n">
        <v>13361</v>
      </c>
      <c r="H67" s="4" t="n">
        <v>11664</v>
      </c>
      <c r="I67" s="4" t="n">
        <v>12691.8</v>
      </c>
      <c r="J67" s="4" t="n">
        <v>12173.7</v>
      </c>
      <c r="K67" s="4" t="n">
        <v>12396.4</v>
      </c>
      <c r="L67" s="4" t="n">
        <v>10587.1</v>
      </c>
      <c r="Q67" t="inlineStr">
        <is>
          <t>kbd</t>
        </is>
      </c>
      <c r="R67" s="5">
        <f>G67*7.33/(G$3)</f>
        <v/>
      </c>
      <c r="S67" s="5">
        <f>H67*7.33/(H$3)</f>
        <v/>
      </c>
      <c r="T67" s="5">
        <f>I67*7.33/(I$3)</f>
        <v/>
      </c>
      <c r="U67" s="5">
        <f>J67*7.33/(J$3)</f>
        <v/>
      </c>
      <c r="V67" s="5">
        <f>K67*7.33/(K$3)</f>
        <v/>
      </c>
      <c r="W67" s="5">
        <f>L67*7.33/(L$3)</f>
        <v/>
      </c>
    </row>
    <row r="68">
      <c r="E68" t="inlineStr">
        <is>
          <t>Sinopec</t>
        </is>
      </c>
      <c r="F68" t="inlineStr">
        <is>
          <t>kt</t>
        </is>
      </c>
      <c r="G68" s="4" t="n">
        <v>2550</v>
      </c>
      <c r="H68" s="4" t="n">
        <v>2320</v>
      </c>
      <c r="I68" s="4" t="n">
        <v>2258</v>
      </c>
      <c r="J68" s="4" t="n">
        <v>2150</v>
      </c>
      <c r="K68" s="4" t="n">
        <v>2310</v>
      </c>
      <c r="L68" s="4" t="n">
        <v>2295</v>
      </c>
      <c r="Q68" t="inlineStr">
        <is>
          <t>kbd</t>
        </is>
      </c>
      <c r="R68" s="5">
        <f>G68*7.33/(G$3)</f>
        <v/>
      </c>
      <c r="S68" s="5">
        <f>H68*7.33/(H$3)</f>
        <v/>
      </c>
      <c r="T68" s="5">
        <f>I68*7.33/(I$3)</f>
        <v/>
      </c>
      <c r="U68" s="5">
        <f>J68*7.33/(J$3)</f>
        <v/>
      </c>
      <c r="V68" s="5">
        <f>K68*7.33/(K$3)</f>
        <v/>
      </c>
      <c r="W68" s="5">
        <f>L68*7.33/(L$3)</f>
        <v/>
      </c>
    </row>
    <row r="69">
      <c r="E69" t="inlineStr">
        <is>
          <t>CNOOC</t>
        </is>
      </c>
      <c r="F69" t="inlineStr">
        <is>
          <t>kt</t>
        </is>
      </c>
      <c r="G69" s="4" t="n">
        <v>260</v>
      </c>
      <c r="H69" s="4" t="n">
        <v>240</v>
      </c>
      <c r="I69" s="4" t="n">
        <v>260.4</v>
      </c>
      <c r="J69" s="4" t="n">
        <v>264.6</v>
      </c>
      <c r="K69" s="4" t="n">
        <v>279</v>
      </c>
      <c r="L69" s="4" t="n">
        <v>270</v>
      </c>
      <c r="Q69" t="inlineStr">
        <is>
          <t>kbd</t>
        </is>
      </c>
      <c r="R69" s="5">
        <f>G69*7.33/(G$3)</f>
        <v/>
      </c>
      <c r="S69" s="5">
        <f>H69*7.33/(H$3)</f>
        <v/>
      </c>
      <c r="T69" s="5">
        <f>I69*7.33/(I$3)</f>
        <v/>
      </c>
      <c r="U69" s="5">
        <f>J69*7.33/(J$3)</f>
        <v/>
      </c>
      <c r="V69" s="5">
        <f>K69*7.33/(K$3)</f>
        <v/>
      </c>
      <c r="W69" s="5">
        <f>L69*7.33/(L$3)</f>
        <v/>
      </c>
    </row>
    <row r="70">
      <c r="E70" t="inlineStr">
        <is>
          <t>Independent refinery</t>
        </is>
      </c>
      <c r="F70" t="inlineStr">
        <is>
          <t>kt</t>
        </is>
      </c>
      <c r="G70" s="4" t="n">
        <v>10551</v>
      </c>
      <c r="H70" s="4" t="n">
        <v>9104</v>
      </c>
      <c r="I70" s="4" t="n">
        <v>10173.4</v>
      </c>
      <c r="J70" s="4" t="n">
        <v>9759.1</v>
      </c>
      <c r="K70" s="4" t="n">
        <v>9807.400000000001</v>
      </c>
      <c r="L70" s="4" t="n">
        <v>8022.100000000001</v>
      </c>
      <c r="Q70" t="inlineStr">
        <is>
          <t>kbd</t>
        </is>
      </c>
      <c r="R70" s="5">
        <f>G70*7.33/(G$3)</f>
        <v/>
      </c>
      <c r="S70" s="5">
        <f>H70*7.33/(H$3)</f>
        <v/>
      </c>
      <c r="T70" s="5">
        <f>I70*7.33/(I$3)</f>
        <v/>
      </c>
      <c r="U70" s="5">
        <f>J70*7.33/(J$3)</f>
        <v/>
      </c>
      <c r="V70" s="5">
        <f>K70*7.33/(K$3)</f>
        <v/>
      </c>
      <c r="W70" s="5">
        <f>L70*7.33/(L$3)</f>
        <v/>
      </c>
    </row>
    <row r="71">
      <c r="D71" t="inlineStr">
        <is>
          <t>FEEDSTOCK PRIMARY PROCESSING UNITS</t>
        </is>
      </c>
      <c r="E71" t="inlineStr">
        <is>
          <t>Shanghai</t>
        </is>
      </c>
      <c r="F71" t="inlineStr">
        <is>
          <t>kt</t>
        </is>
      </c>
      <c r="G71" s="4" t="n">
        <v>1810</v>
      </c>
      <c r="H71" s="4" t="n">
        <v>2030</v>
      </c>
      <c r="I71" s="4" t="n">
        <v>1905.3</v>
      </c>
      <c r="J71" s="4" t="n">
        <v>1746.7</v>
      </c>
      <c r="K71" s="4" t="n">
        <v>1780</v>
      </c>
      <c r="L71" s="4" t="n">
        <v>1710</v>
      </c>
      <c r="Q71" t="inlineStr">
        <is>
          <t>kbd</t>
        </is>
      </c>
      <c r="R71" s="5">
        <f>G71*7.33/(G$3)</f>
        <v/>
      </c>
      <c r="S71" s="5">
        <f>H71*7.33/(H$3)</f>
        <v/>
      </c>
      <c r="T71" s="5">
        <f>I71*7.33/(I$3)</f>
        <v/>
      </c>
      <c r="U71" s="5">
        <f>J71*7.33/(J$3)</f>
        <v/>
      </c>
      <c r="V71" s="5">
        <f>K71*7.33/(K$3)</f>
        <v/>
      </c>
      <c r="W71" s="5">
        <f>L71*7.33/(L$3)</f>
        <v/>
      </c>
    </row>
    <row r="72">
      <c r="E72" t="inlineStr">
        <is>
          <t>Sinopec</t>
        </is>
      </c>
      <c r="F72" t="inlineStr">
        <is>
          <t>kt</t>
        </is>
      </c>
      <c r="G72" s="4" t="n">
        <v>1810</v>
      </c>
      <c r="H72" s="4" t="n">
        <v>2030</v>
      </c>
      <c r="I72" s="4" t="n">
        <v>1905.3</v>
      </c>
      <c r="J72" s="4" t="n">
        <v>1746.7</v>
      </c>
      <c r="K72" s="4" t="n">
        <v>1780</v>
      </c>
      <c r="L72" s="4" t="n">
        <v>1710</v>
      </c>
      <c r="Q72" t="inlineStr">
        <is>
          <t>kbd</t>
        </is>
      </c>
      <c r="R72" s="5">
        <f>G72*7.33/(G$3)</f>
        <v/>
      </c>
      <c r="S72" s="5">
        <f>H72*7.33/(H$3)</f>
        <v/>
      </c>
      <c r="T72" s="5">
        <f>I72*7.33/(I$3)</f>
        <v/>
      </c>
      <c r="U72" s="5">
        <f>J72*7.33/(J$3)</f>
        <v/>
      </c>
      <c r="V72" s="5">
        <f>K72*7.33/(K$3)</f>
        <v/>
      </c>
      <c r="W72" s="5">
        <f>L72*7.33/(L$3)</f>
        <v/>
      </c>
    </row>
    <row r="73">
      <c r="D73" t="inlineStr">
        <is>
          <t>FEEDSTOCK PRIMARY PROCESSING UNITS</t>
        </is>
      </c>
      <c r="E73" t="inlineStr">
        <is>
          <t>Sichuan</t>
        </is>
      </c>
      <c r="F73" t="inlineStr">
        <is>
          <t>kt</t>
        </is>
      </c>
      <c r="G73" s="4" t="n">
        <v>895</v>
      </c>
      <c r="H73" s="4" t="n">
        <v>792</v>
      </c>
      <c r="I73" s="4" t="n">
        <v>886.4000000000001</v>
      </c>
      <c r="J73" s="4" t="n">
        <v>814.6000000000001</v>
      </c>
      <c r="K73" s="4" t="n">
        <v>812.2</v>
      </c>
      <c r="L73" s="4" t="n">
        <v>809</v>
      </c>
      <c r="Q73" t="inlineStr">
        <is>
          <t>kbd</t>
        </is>
      </c>
      <c r="R73" s="5">
        <f>G73*7.33/(G$3)</f>
        <v/>
      </c>
      <c r="S73" s="5">
        <f>H73*7.33/(H$3)</f>
        <v/>
      </c>
      <c r="T73" s="5">
        <f>I73*7.33/(I$3)</f>
        <v/>
      </c>
      <c r="U73" s="5">
        <f>J73*7.33/(J$3)</f>
        <v/>
      </c>
      <c r="V73" s="5">
        <f>K73*7.33/(K$3)</f>
        <v/>
      </c>
      <c r="W73" s="5">
        <f>L73*7.33/(L$3)</f>
        <v/>
      </c>
    </row>
    <row r="74">
      <c r="E74" t="inlineStr">
        <is>
          <t>PetroChina</t>
        </is>
      </c>
      <c r="F74" t="inlineStr">
        <is>
          <t>kt</t>
        </is>
      </c>
      <c r="G74" s="4" t="n">
        <v>835</v>
      </c>
      <c r="H74" s="4" t="n">
        <v>740</v>
      </c>
      <c r="I74" s="4" t="n">
        <v>835.2</v>
      </c>
      <c r="J74" s="4" t="n">
        <v>780.4000000000001</v>
      </c>
      <c r="K74" s="4" t="n">
        <v>775</v>
      </c>
      <c r="L74" s="4" t="n">
        <v>780</v>
      </c>
      <c r="Q74" t="inlineStr">
        <is>
          <t>kbd</t>
        </is>
      </c>
      <c r="R74" s="5">
        <f>G74*7.33/(G$3)</f>
        <v/>
      </c>
      <c r="S74" s="5">
        <f>H74*7.33/(H$3)</f>
        <v/>
      </c>
      <c r="T74" s="5">
        <f>I74*7.33/(I$3)</f>
        <v/>
      </c>
      <c r="U74" s="5">
        <f>J74*7.33/(J$3)</f>
        <v/>
      </c>
      <c r="V74" s="5">
        <f>K74*7.33/(K$3)</f>
        <v/>
      </c>
      <c r="W74" s="5">
        <f>L74*7.33/(L$3)</f>
        <v/>
      </c>
    </row>
    <row r="75">
      <c r="E75" t="inlineStr">
        <is>
          <t>CNOOC</t>
        </is>
      </c>
      <c r="F75" t="inlineStr">
        <is>
          <t>kt</t>
        </is>
      </c>
      <c r="G75" s="4" t="n">
        <v>20</v>
      </c>
      <c r="H75" s="4" t="n">
        <v>32</v>
      </c>
      <c r="I75" s="4" t="n">
        <v>32.2</v>
      </c>
      <c r="J75" s="4" t="n">
        <v>34.2</v>
      </c>
      <c r="K75" s="4" t="n">
        <v>37.2</v>
      </c>
      <c r="L75" s="4" t="n">
        <v>29</v>
      </c>
      <c r="Q75" t="inlineStr">
        <is>
          <t>kbd</t>
        </is>
      </c>
      <c r="R75" s="5">
        <f>G75*7.33/(G$3)</f>
        <v/>
      </c>
      <c r="S75" s="5">
        <f>H75*7.33/(H$3)</f>
        <v/>
      </c>
      <c r="T75" s="5">
        <f>I75*7.33/(I$3)</f>
        <v/>
      </c>
      <c r="U75" s="5">
        <f>J75*7.33/(J$3)</f>
        <v/>
      </c>
      <c r="V75" s="5">
        <f>K75*7.33/(K$3)</f>
        <v/>
      </c>
      <c r="W75" s="5">
        <f>L75*7.33/(L$3)</f>
        <v/>
      </c>
    </row>
    <row r="76">
      <c r="E76" t="inlineStr">
        <is>
          <t>Independent refinery</t>
        </is>
      </c>
      <c r="F76" t="inlineStr">
        <is>
          <t>kt</t>
        </is>
      </c>
      <c r="G76" s="4" t="n">
        <v>40</v>
      </c>
      <c r="H76" s="4" t="n">
        <v>20</v>
      </c>
      <c r="I76" s="4" t="n">
        <v>19</v>
      </c>
      <c r="J76" s="4" t="n">
        <v>0</v>
      </c>
      <c r="K76" s="4" t="n">
        <v>0</v>
      </c>
      <c r="L76" s="4" t="n">
        <v>0</v>
      </c>
      <c r="Q76" t="inlineStr">
        <is>
          <t>kbd</t>
        </is>
      </c>
      <c r="R76" s="5">
        <f>G76*7.33/(G$3)</f>
        <v/>
      </c>
      <c r="S76" s="5">
        <f>H76*7.33/(H$3)</f>
        <v/>
      </c>
      <c r="T76" s="5">
        <f>I76*7.33/(I$3)</f>
        <v/>
      </c>
      <c r="U76" s="5">
        <f>J76*7.33/(J$3)</f>
        <v/>
      </c>
      <c r="V76" s="5">
        <f>K76*7.33/(K$3)</f>
        <v/>
      </c>
      <c r="W76" s="5">
        <f>L76*7.33/(L$3)</f>
        <v/>
      </c>
    </row>
    <row r="77">
      <c r="D77" t="inlineStr">
        <is>
          <t>FEEDSTOCK PRIMARY PROCESSING UNITS</t>
        </is>
      </c>
      <c r="E77" t="inlineStr">
        <is>
          <t>Tianjin</t>
        </is>
      </c>
      <c r="F77" t="inlineStr">
        <is>
          <t>kt</t>
        </is>
      </c>
      <c r="G77" s="4" t="n">
        <v>1340</v>
      </c>
      <c r="H77" s="4" t="n">
        <v>1205</v>
      </c>
      <c r="I77" s="4" t="n">
        <v>1189.9</v>
      </c>
      <c r="J77" s="4" t="n">
        <v>1072</v>
      </c>
      <c r="K77" s="4" t="n">
        <v>1055</v>
      </c>
      <c r="L77" s="4" t="n">
        <v>1060</v>
      </c>
      <c r="Q77" t="inlineStr">
        <is>
          <t>kbd</t>
        </is>
      </c>
      <c r="R77" s="5">
        <f>G77*7.33/(G$3)</f>
        <v/>
      </c>
      <c r="S77" s="5">
        <f>H77*7.33/(H$3)</f>
        <v/>
      </c>
      <c r="T77" s="5">
        <f>I77*7.33/(I$3)</f>
        <v/>
      </c>
      <c r="U77" s="5">
        <f>J77*7.33/(J$3)</f>
        <v/>
      </c>
      <c r="V77" s="5">
        <f>K77*7.33/(K$3)</f>
        <v/>
      </c>
      <c r="W77" s="5">
        <f>L77*7.33/(L$3)</f>
        <v/>
      </c>
    </row>
    <row r="78">
      <c r="E78" t="inlineStr">
        <is>
          <t>Sinopec</t>
        </is>
      </c>
      <c r="F78" t="inlineStr">
        <is>
          <t>kt</t>
        </is>
      </c>
      <c r="G78" s="4" t="n">
        <v>900</v>
      </c>
      <c r="H78" s="4" t="n">
        <v>810</v>
      </c>
      <c r="I78" s="4" t="n">
        <v>750</v>
      </c>
      <c r="J78" s="4" t="n">
        <v>700</v>
      </c>
      <c r="K78" s="4" t="n">
        <v>670</v>
      </c>
      <c r="L78" s="4" t="n">
        <v>660</v>
      </c>
      <c r="Q78" t="inlineStr">
        <is>
          <t>kbd</t>
        </is>
      </c>
      <c r="R78" s="5">
        <f>G78*7.33/(G$3)</f>
        <v/>
      </c>
      <c r="S78" s="5">
        <f>H78*7.33/(H$3)</f>
        <v/>
      </c>
      <c r="T78" s="5">
        <f>I78*7.33/(I$3)</f>
        <v/>
      </c>
      <c r="U78" s="5">
        <f>J78*7.33/(J$3)</f>
        <v/>
      </c>
      <c r="V78" s="5">
        <f>K78*7.33/(K$3)</f>
        <v/>
      </c>
      <c r="W78" s="5">
        <f>L78*7.33/(L$3)</f>
        <v/>
      </c>
    </row>
    <row r="79">
      <c r="E79" t="inlineStr">
        <is>
          <t>PetroChina</t>
        </is>
      </c>
      <c r="F79" t="inlineStr">
        <is>
          <t>kt</t>
        </is>
      </c>
      <c r="G79" s="4" t="n">
        <v>440</v>
      </c>
      <c r="H79" s="4" t="n">
        <v>395</v>
      </c>
      <c r="I79" s="4" t="n">
        <v>439.9</v>
      </c>
      <c r="J79" s="4" t="n">
        <v>372</v>
      </c>
      <c r="K79" s="4" t="n">
        <v>385</v>
      </c>
      <c r="L79" s="4" t="n">
        <v>400</v>
      </c>
      <c r="Q79" t="inlineStr">
        <is>
          <t>kbd</t>
        </is>
      </c>
      <c r="R79" s="5">
        <f>G79*7.33/(G$3)</f>
        <v/>
      </c>
      <c r="S79" s="5">
        <f>H79*7.33/(H$3)</f>
        <v/>
      </c>
      <c r="T79" s="5">
        <f>I79*7.33/(I$3)</f>
        <v/>
      </c>
      <c r="U79" s="5">
        <f>J79*7.33/(J$3)</f>
        <v/>
      </c>
      <c r="V79" s="5">
        <f>K79*7.33/(K$3)</f>
        <v/>
      </c>
      <c r="W79" s="5">
        <f>L79*7.33/(L$3)</f>
        <v/>
      </c>
    </row>
    <row r="80">
      <c r="D80" t="inlineStr">
        <is>
          <t>FEEDSTOCK PRIMARY PROCESSING UNITS</t>
        </is>
      </c>
      <c r="E80" t="inlineStr">
        <is>
          <t>Xinjiang</t>
        </is>
      </c>
      <c r="F80" t="inlineStr">
        <is>
          <t>kt</t>
        </is>
      </c>
      <c r="G80" s="4" t="n">
        <v>2100</v>
      </c>
      <c r="H80" s="4" t="n">
        <v>1920</v>
      </c>
      <c r="I80" s="4" t="n">
        <v>1998.1</v>
      </c>
      <c r="J80" s="4" t="n">
        <v>1800</v>
      </c>
      <c r="K80" s="4" t="n">
        <v>2030</v>
      </c>
      <c r="L80" s="4" t="n">
        <v>2090</v>
      </c>
      <c r="Q80" t="inlineStr">
        <is>
          <t>kbd</t>
        </is>
      </c>
      <c r="R80" s="5">
        <f>G80*7.33/(G$3)</f>
        <v/>
      </c>
      <c r="S80" s="5">
        <f>H80*7.33/(H$3)</f>
        <v/>
      </c>
      <c r="T80" s="5">
        <f>I80*7.33/(I$3)</f>
        <v/>
      </c>
      <c r="U80" s="5">
        <f>J80*7.33/(J$3)</f>
        <v/>
      </c>
      <c r="V80" s="5">
        <f>K80*7.33/(K$3)</f>
        <v/>
      </c>
      <c r="W80" s="5">
        <f>L80*7.33/(L$3)</f>
        <v/>
      </c>
    </row>
    <row r="81">
      <c r="E81" t="inlineStr">
        <is>
          <t>Sinopec</t>
        </is>
      </c>
      <c r="F81" t="inlineStr">
        <is>
          <t>kt</t>
        </is>
      </c>
      <c r="G81" s="4" t="n">
        <v>350</v>
      </c>
      <c r="H81" s="4" t="n">
        <v>320</v>
      </c>
      <c r="I81" s="4" t="n">
        <v>248</v>
      </c>
      <c r="J81" s="4" t="n">
        <v>80</v>
      </c>
      <c r="K81" s="4" t="n">
        <v>320</v>
      </c>
      <c r="L81" s="4" t="n">
        <v>380</v>
      </c>
      <c r="Q81" t="inlineStr">
        <is>
          <t>kbd</t>
        </is>
      </c>
      <c r="R81" s="5">
        <f>G81*7.33/(G$3)</f>
        <v/>
      </c>
      <c r="S81" s="5">
        <f>H81*7.33/(H$3)</f>
        <v/>
      </c>
      <c r="T81" s="5">
        <f>I81*7.33/(I$3)</f>
        <v/>
      </c>
      <c r="U81" s="5">
        <f>J81*7.33/(J$3)</f>
        <v/>
      </c>
      <c r="V81" s="5">
        <f>K81*7.33/(K$3)</f>
        <v/>
      </c>
      <c r="W81" s="5">
        <f>L81*7.33/(L$3)</f>
        <v/>
      </c>
    </row>
    <row r="82">
      <c r="E82" t="inlineStr">
        <is>
          <t>PetroChina</t>
        </is>
      </c>
      <c r="F82" t="inlineStr">
        <is>
          <t>kt</t>
        </is>
      </c>
      <c r="G82" s="4" t="n">
        <v>1750</v>
      </c>
      <c r="H82" s="4" t="n">
        <v>1600</v>
      </c>
      <c r="I82" s="4" t="n">
        <v>1750.1</v>
      </c>
      <c r="J82" s="4" t="n">
        <v>1720</v>
      </c>
      <c r="K82" s="4" t="n">
        <v>1710</v>
      </c>
      <c r="L82" s="4" t="n">
        <v>1710</v>
      </c>
      <c r="Q82" t="inlineStr">
        <is>
          <t>kbd</t>
        </is>
      </c>
      <c r="R82" s="5">
        <f>G82*7.33/(G$3)</f>
        <v/>
      </c>
      <c r="S82" s="5">
        <f>H82*7.33/(H$3)</f>
        <v/>
      </c>
      <c r="T82" s="5">
        <f>I82*7.33/(I$3)</f>
        <v/>
      </c>
      <c r="U82" s="5">
        <f>J82*7.33/(J$3)</f>
        <v/>
      </c>
      <c r="V82" s="5">
        <f>K82*7.33/(K$3)</f>
        <v/>
      </c>
      <c r="W82" s="5">
        <f>L82*7.33/(L$3)</f>
        <v/>
      </c>
    </row>
    <row r="83">
      <c r="D83" t="inlineStr">
        <is>
          <t>FEEDSTOCK PRIMARY PROCESSING UNITS</t>
        </is>
      </c>
      <c r="E83" t="inlineStr">
        <is>
          <t>Yunnan</t>
        </is>
      </c>
      <c r="F83" t="inlineStr">
        <is>
          <t>kt</t>
        </is>
      </c>
      <c r="G83" s="4" t="n">
        <v>520</v>
      </c>
      <c r="H83" s="4" t="n">
        <v>780</v>
      </c>
      <c r="I83" s="4" t="n">
        <v>750</v>
      </c>
      <c r="J83" s="4" t="n">
        <v>705</v>
      </c>
      <c r="K83" s="4" t="n">
        <v>730</v>
      </c>
      <c r="L83" s="4" t="n">
        <v>705</v>
      </c>
      <c r="Q83" t="inlineStr">
        <is>
          <t>kbd</t>
        </is>
      </c>
      <c r="R83" s="5">
        <f>G83*7.33/(G$3)</f>
        <v/>
      </c>
      <c r="S83" s="5">
        <f>H83*7.33/(H$3)</f>
        <v/>
      </c>
      <c r="T83" s="5">
        <f>I83*7.33/(I$3)</f>
        <v/>
      </c>
      <c r="U83" s="5">
        <f>J83*7.33/(J$3)</f>
        <v/>
      </c>
      <c r="V83" s="5">
        <f>K83*7.33/(K$3)</f>
        <v/>
      </c>
      <c r="W83" s="5">
        <f>L83*7.33/(L$3)</f>
        <v/>
      </c>
    </row>
    <row r="84">
      <c r="E84" t="inlineStr">
        <is>
          <t>PetroChina</t>
        </is>
      </c>
      <c r="F84" t="inlineStr">
        <is>
          <t>kt</t>
        </is>
      </c>
      <c r="G84" s="4" t="n">
        <v>520</v>
      </c>
      <c r="H84" s="4" t="n">
        <v>780</v>
      </c>
      <c r="I84" s="4" t="n">
        <v>750</v>
      </c>
      <c r="J84" s="4" t="n">
        <v>705</v>
      </c>
      <c r="K84" s="4" t="n">
        <v>730</v>
      </c>
      <c r="L84" s="4" t="n">
        <v>705</v>
      </c>
      <c r="Q84" t="inlineStr">
        <is>
          <t>kbd</t>
        </is>
      </c>
      <c r="R84" s="5">
        <f>G84*7.33/(G$3)</f>
        <v/>
      </c>
      <c r="S84" s="5">
        <f>H84*7.33/(H$3)</f>
        <v/>
      </c>
      <c r="T84" s="5">
        <f>I84*7.33/(I$3)</f>
        <v/>
      </c>
      <c r="U84" s="5">
        <f>J84*7.33/(J$3)</f>
        <v/>
      </c>
      <c r="V84" s="5">
        <f>K84*7.33/(K$3)</f>
        <v/>
      </c>
      <c r="W84" s="5">
        <f>L84*7.33/(L$3)</f>
        <v/>
      </c>
    </row>
    <row r="85">
      <c r="D85" t="inlineStr">
        <is>
          <t>FEEDSTOCK PRIMARY PROCESSING UNITS</t>
        </is>
      </c>
      <c r="E85" t="inlineStr">
        <is>
          <t>Zhejiang</t>
        </is>
      </c>
      <c r="F85" t="inlineStr">
        <is>
          <t>kt</t>
        </is>
      </c>
      <c r="G85" s="4" t="n">
        <v>6510</v>
      </c>
      <c r="H85" s="4" t="n">
        <v>6070</v>
      </c>
      <c r="I85" s="4" t="n">
        <v>6028.1</v>
      </c>
      <c r="J85" s="4" t="n">
        <v>5177.1</v>
      </c>
      <c r="K85" s="4" t="n">
        <v>4840.299999999999</v>
      </c>
      <c r="L85" s="4" t="n">
        <v>4480</v>
      </c>
      <c r="Q85" t="inlineStr">
        <is>
          <t>kbd</t>
        </is>
      </c>
      <c r="R85" s="5">
        <f>G85*7.33/(G$3)</f>
        <v/>
      </c>
      <c r="S85" s="5">
        <f>H85*7.33/(H$3)</f>
        <v/>
      </c>
      <c r="T85" s="5">
        <f>I85*7.33/(I$3)</f>
        <v/>
      </c>
      <c r="U85" s="5">
        <f>J85*7.33/(J$3)</f>
        <v/>
      </c>
      <c r="V85" s="5">
        <f>K85*7.33/(K$3)</f>
        <v/>
      </c>
      <c r="W85" s="5">
        <f>L85*7.33/(L$3)</f>
        <v/>
      </c>
    </row>
    <row r="86">
      <c r="E86" t="inlineStr">
        <is>
          <t>Sinopec</t>
        </is>
      </c>
      <c r="F86" t="inlineStr">
        <is>
          <t>kt</t>
        </is>
      </c>
      <c r="G86" s="4" t="n">
        <v>2550</v>
      </c>
      <c r="H86" s="4" t="n">
        <v>2300</v>
      </c>
      <c r="I86" s="4" t="n">
        <v>2302.3</v>
      </c>
      <c r="J86" s="4" t="n">
        <v>1798.9</v>
      </c>
      <c r="K86" s="4" t="n">
        <v>1820</v>
      </c>
      <c r="L86" s="4" t="n">
        <v>1870</v>
      </c>
      <c r="Q86" t="inlineStr">
        <is>
          <t>kbd</t>
        </is>
      </c>
      <c r="R86" s="5">
        <f>G86*7.33/(G$3)</f>
        <v/>
      </c>
      <c r="S86" s="5">
        <f>H86*7.33/(H$3)</f>
        <v/>
      </c>
      <c r="T86" s="5">
        <f>I86*7.33/(I$3)</f>
        <v/>
      </c>
      <c r="U86" s="5">
        <f>J86*7.33/(J$3)</f>
        <v/>
      </c>
      <c r="V86" s="5">
        <f>K86*7.33/(K$3)</f>
        <v/>
      </c>
      <c r="W86" s="5">
        <f>L86*7.33/(L$3)</f>
        <v/>
      </c>
    </row>
    <row r="87">
      <c r="E87" t="inlineStr">
        <is>
          <t>CNOOC</t>
        </is>
      </c>
      <c r="F87" t="inlineStr">
        <is>
          <t>kt</t>
        </is>
      </c>
      <c r="G87" s="4" t="n">
        <v>520</v>
      </c>
      <c r="H87" s="4" t="n">
        <v>520</v>
      </c>
      <c r="I87" s="4" t="n">
        <v>642</v>
      </c>
      <c r="J87" s="4" t="n">
        <v>900</v>
      </c>
      <c r="K87" s="4" t="n">
        <v>631</v>
      </c>
      <c r="L87" s="4" t="n">
        <v>510</v>
      </c>
      <c r="Q87" t="inlineStr">
        <is>
          <t>kbd</t>
        </is>
      </c>
      <c r="R87" s="5">
        <f>G87*7.33/(G$3)</f>
        <v/>
      </c>
      <c r="S87" s="5">
        <f>H87*7.33/(H$3)</f>
        <v/>
      </c>
      <c r="T87" s="5">
        <f>I87*7.33/(I$3)</f>
        <v/>
      </c>
      <c r="U87" s="5">
        <f>J87*7.33/(J$3)</f>
        <v/>
      </c>
      <c r="V87" s="5">
        <f>K87*7.33/(K$3)</f>
        <v/>
      </c>
      <c r="W87" s="5">
        <f>L87*7.33/(L$3)</f>
        <v/>
      </c>
    </row>
    <row r="88">
      <c r="E88" t="inlineStr">
        <is>
          <t>Independent refinery</t>
        </is>
      </c>
      <c r="F88" t="inlineStr">
        <is>
          <t>kt</t>
        </is>
      </c>
      <c r="G88" s="4" t="n">
        <v>3440</v>
      </c>
      <c r="H88" s="4" t="n">
        <v>3250</v>
      </c>
      <c r="I88" s="4" t="n">
        <v>3083.8</v>
      </c>
      <c r="J88" s="4" t="n">
        <v>2478.2</v>
      </c>
      <c r="K88" s="4" t="n">
        <v>2389.3</v>
      </c>
      <c r="L88" s="4" t="n">
        <v>2100</v>
      </c>
      <c r="Q88" t="inlineStr">
        <is>
          <t>kbd</t>
        </is>
      </c>
      <c r="R88" s="5">
        <f>G88*7.33/(G$3)</f>
        <v/>
      </c>
      <c r="S88" s="5">
        <f>H88*7.33/(H$3)</f>
        <v/>
      </c>
      <c r="T88" s="5">
        <f>I88*7.33/(I$3)</f>
        <v/>
      </c>
      <c r="U88" s="5">
        <f>J88*7.33/(J$3)</f>
        <v/>
      </c>
      <c r="V88" s="5">
        <f>K88*7.33/(K$3)</f>
        <v/>
      </c>
      <c r="W88" s="5">
        <f>L88*7.33/(L$3)</f>
        <v/>
      </c>
    </row>
    <row r="90">
      <c r="C90" s="6" t="inlineStr">
        <is>
          <t>LOCAL OIL PRODUCTION</t>
        </is>
      </c>
    </row>
    <row r="91">
      <c r="C91" s="6" t="inlineStr">
        <is>
          <t>LOCAL OIL PRODUCTION</t>
        </is>
      </c>
      <c r="D91" t="inlineStr">
        <is>
          <t>province</t>
        </is>
      </c>
      <c r="E91" t="inlineStr">
        <is>
          <t>Chongqing</t>
        </is>
      </c>
      <c r="F91" t="inlineStr">
        <is>
          <t>kt</t>
        </is>
      </c>
      <c r="G91" s="4" t="n">
        <v>3.5</v>
      </c>
      <c r="H91" s="4" t="n">
        <v>3.5</v>
      </c>
      <c r="I91" s="4" t="n">
        <v>6</v>
      </c>
      <c r="J91" s="4" t="n">
        <v>7</v>
      </c>
      <c r="K91" s="4" t="n">
        <v>5</v>
      </c>
      <c r="Q91" t="inlineStr">
        <is>
          <t>kbd</t>
        </is>
      </c>
      <c r="R91" s="5">
        <f>G91*7.33/(G$3)</f>
        <v/>
      </c>
      <c r="S91" s="5">
        <f>H91*7.33/(H$3)</f>
        <v/>
      </c>
      <c r="T91" s="5">
        <f>I91*7.33/(I$3)</f>
        <v/>
      </c>
      <c r="U91" s="5">
        <f>J91*7.33/(J$3)</f>
        <v/>
      </c>
      <c r="V91" s="5">
        <f>K91*7.33/(K$3)</f>
        <v/>
      </c>
      <c r="W91" s="5">
        <f>L91*7.33/(L$3)</f>
        <v/>
      </c>
    </row>
    <row r="92">
      <c r="C92" s="6" t="inlineStr">
        <is>
          <t>LOCAL OIL PRODUCTION</t>
        </is>
      </c>
      <c r="D92" t="inlineStr">
        <is>
          <t>equity_owner</t>
        </is>
      </c>
      <c r="E92" t="inlineStr">
        <is>
          <t>PetroChina</t>
        </is>
      </c>
      <c r="F92" t="inlineStr">
        <is>
          <t>kt</t>
        </is>
      </c>
      <c r="G92" s="4" t="n">
        <v>3.5</v>
      </c>
      <c r="H92" s="4" t="n">
        <v>3.5</v>
      </c>
      <c r="I92" s="4" t="n">
        <v>6</v>
      </c>
      <c r="J92" s="4" t="n">
        <v>7</v>
      </c>
      <c r="K92" s="4" t="n">
        <v>5</v>
      </c>
      <c r="Q92" t="inlineStr">
        <is>
          <t>kbd</t>
        </is>
      </c>
      <c r="R92" s="5">
        <f>G92*7.33/(G$3)</f>
        <v/>
      </c>
      <c r="S92" s="5">
        <f>H92*7.33/(H$3)</f>
        <v/>
      </c>
      <c r="T92" s="5">
        <f>I92*7.33/(I$3)</f>
        <v/>
      </c>
      <c r="U92" s="5">
        <f>J92*7.33/(J$3)</f>
        <v/>
      </c>
      <c r="V92" s="5">
        <f>K92*7.33/(K$3)</f>
        <v/>
      </c>
      <c r="W92" s="5">
        <f>L92*7.33/(L$3)</f>
        <v/>
      </c>
    </row>
    <row r="93">
      <c r="C93" s="6" t="inlineStr">
        <is>
          <t>LOCAL OIL PRODUCTION</t>
        </is>
      </c>
      <c r="D93" t="inlineStr">
        <is>
          <t>field_name</t>
        </is>
      </c>
      <c r="E93" t="inlineStr">
        <is>
          <t>Xinan Oilfield</t>
        </is>
      </c>
      <c r="F93" t="inlineStr">
        <is>
          <t>kt</t>
        </is>
      </c>
      <c r="G93" s="4" t="n">
        <v>3.5</v>
      </c>
      <c r="H93" s="4" t="n">
        <v>3.5</v>
      </c>
      <c r="I93" s="4" t="n">
        <v>6</v>
      </c>
      <c r="J93" s="4" t="n">
        <v>7</v>
      </c>
      <c r="K93" s="4" t="n">
        <v>5</v>
      </c>
      <c r="Q93" t="inlineStr">
        <is>
          <t>kbd</t>
        </is>
      </c>
      <c r="R93" s="5">
        <f>G93*7.33/(G$3)</f>
        <v/>
      </c>
      <c r="S93" s="5">
        <f>H93*7.33/(H$3)</f>
        <v/>
      </c>
      <c r="T93" s="5">
        <f>I93*7.33/(I$3)</f>
        <v/>
      </c>
      <c r="U93" s="5">
        <f>J93*7.33/(J$3)</f>
        <v/>
      </c>
      <c r="V93" s="5">
        <f>K93*7.33/(K$3)</f>
        <v/>
      </c>
      <c r="W93" s="5">
        <f>L93*7.33/(L$3)</f>
        <v/>
      </c>
    </row>
    <row r="94">
      <c r="C94" s="6" t="inlineStr">
        <is>
          <t>LOCAL OIL PRODUCTION</t>
        </is>
      </c>
      <c r="D94" t="inlineStr">
        <is>
          <t>province</t>
        </is>
      </c>
      <c r="E94" t="inlineStr">
        <is>
          <t>Gansu</t>
        </is>
      </c>
      <c r="F94" t="inlineStr">
        <is>
          <t>kt</t>
        </is>
      </c>
      <c r="G94" s="4" t="n">
        <v>1082</v>
      </c>
      <c r="H94" s="4" t="n">
        <v>1082</v>
      </c>
      <c r="I94" s="4" t="n">
        <v>1190</v>
      </c>
      <c r="J94" s="4" t="n">
        <v>1050</v>
      </c>
      <c r="K94" s="4" t="n">
        <v>1109</v>
      </c>
      <c r="Q94" t="inlineStr">
        <is>
          <t>kbd</t>
        </is>
      </c>
      <c r="R94" s="5">
        <f>G94*7.33/(G$3)</f>
        <v/>
      </c>
      <c r="S94" s="5">
        <f>H94*7.33/(H$3)</f>
        <v/>
      </c>
      <c r="T94" s="5">
        <f>I94*7.33/(I$3)</f>
        <v/>
      </c>
      <c r="U94" s="5">
        <f>J94*7.33/(J$3)</f>
        <v/>
      </c>
      <c r="V94" s="5">
        <f>K94*7.33/(K$3)</f>
        <v/>
      </c>
      <c r="W94" s="5">
        <f>L94*7.33/(L$3)</f>
        <v/>
      </c>
    </row>
    <row r="95">
      <c r="C95" s="6" t="inlineStr">
        <is>
          <t>LOCAL OIL PRODUCTION</t>
        </is>
      </c>
      <c r="D95" t="inlineStr">
        <is>
          <t>equity_owner</t>
        </is>
      </c>
      <c r="E95" t="inlineStr">
        <is>
          <t>PetroChina</t>
        </is>
      </c>
      <c r="F95" t="inlineStr">
        <is>
          <t>kt</t>
        </is>
      </c>
      <c r="G95" s="4" t="n">
        <v>1082</v>
      </c>
      <c r="H95" s="4" t="n">
        <v>1082</v>
      </c>
      <c r="I95" s="4" t="n">
        <v>1190</v>
      </c>
      <c r="J95" s="4" t="n">
        <v>1050</v>
      </c>
      <c r="K95" s="4" t="n">
        <v>1109</v>
      </c>
      <c r="Q95" t="inlineStr">
        <is>
          <t>kbd</t>
        </is>
      </c>
      <c r="R95" s="5">
        <f>G95*7.33/(G$3)</f>
        <v/>
      </c>
      <c r="S95" s="5">
        <f>H95*7.33/(H$3)</f>
        <v/>
      </c>
      <c r="T95" s="5">
        <f>I95*7.33/(I$3)</f>
        <v/>
      </c>
      <c r="U95" s="5">
        <f>J95*7.33/(J$3)</f>
        <v/>
      </c>
      <c r="V95" s="5">
        <f>K95*7.33/(K$3)</f>
        <v/>
      </c>
      <c r="W95" s="5">
        <f>L95*7.33/(L$3)</f>
        <v/>
      </c>
    </row>
    <row r="96">
      <c r="C96" s="6" t="inlineStr">
        <is>
          <t>LOCAL OIL PRODUCTION</t>
        </is>
      </c>
      <c r="D96" t="inlineStr">
        <is>
          <t>field_name</t>
        </is>
      </c>
      <c r="E96" t="inlineStr">
        <is>
          <t>Changqing Oilfield</t>
        </is>
      </c>
      <c r="F96" t="inlineStr">
        <is>
          <t>kt</t>
        </is>
      </c>
      <c r="G96" s="4" t="n">
        <v>1012</v>
      </c>
      <c r="H96" s="4" t="n">
        <v>1012</v>
      </c>
      <c r="I96" s="4" t="n">
        <v>1113</v>
      </c>
      <c r="J96" s="4" t="n">
        <v>982</v>
      </c>
      <c r="K96" s="4" t="n">
        <v>1037</v>
      </c>
      <c r="Q96" t="inlineStr">
        <is>
          <t>kbd</t>
        </is>
      </c>
      <c r="R96" s="5">
        <f>G96*7.33/(G$3)</f>
        <v/>
      </c>
      <c r="S96" s="5">
        <f>H96*7.33/(H$3)</f>
        <v/>
      </c>
      <c r="T96" s="5">
        <f>I96*7.33/(I$3)</f>
        <v/>
      </c>
      <c r="U96" s="5">
        <f>J96*7.33/(J$3)</f>
        <v/>
      </c>
      <c r="V96" s="5">
        <f>K96*7.33/(K$3)</f>
        <v/>
      </c>
      <c r="W96" s="5">
        <f>L96*7.33/(L$3)</f>
        <v/>
      </c>
    </row>
    <row r="97">
      <c r="C97" s="6" t="inlineStr">
        <is>
          <t>LOCAL OIL PRODUCTION</t>
        </is>
      </c>
      <c r="D97" t="inlineStr">
        <is>
          <t>field_name</t>
        </is>
      </c>
      <c r="E97" t="inlineStr">
        <is>
          <t>Yumen Oilfield</t>
        </is>
      </c>
      <c r="F97" t="inlineStr">
        <is>
          <t>kt</t>
        </is>
      </c>
      <c r="G97" s="4" t="n">
        <v>70</v>
      </c>
      <c r="H97" s="4" t="n">
        <v>70</v>
      </c>
      <c r="I97" s="4" t="n">
        <v>77.00000000000003</v>
      </c>
      <c r="J97" s="4" t="n">
        <v>67.99999999999997</v>
      </c>
      <c r="K97" s="4" t="n">
        <v>72.00000000000003</v>
      </c>
      <c r="Q97" t="inlineStr">
        <is>
          <t>kbd</t>
        </is>
      </c>
      <c r="R97" s="5">
        <f>G97*7.33/(G$3)</f>
        <v/>
      </c>
      <c r="S97" s="5">
        <f>H97*7.33/(H$3)</f>
        <v/>
      </c>
      <c r="T97" s="5">
        <f>I97*7.33/(I$3)</f>
        <v/>
      </c>
      <c r="U97" s="5">
        <f>J97*7.33/(J$3)</f>
        <v/>
      </c>
      <c r="V97" s="5">
        <f>K97*7.33/(K$3)</f>
        <v/>
      </c>
      <c r="W97" s="5">
        <f>L97*7.33/(L$3)</f>
        <v/>
      </c>
    </row>
    <row r="98">
      <c r="C98" s="6" t="inlineStr">
        <is>
          <t>LOCAL OIL PRODUCTION</t>
        </is>
      </c>
      <c r="D98" t="inlineStr">
        <is>
          <t>province</t>
        </is>
      </c>
      <c r="E98" t="inlineStr">
        <is>
          <t>Guangdong</t>
        </is>
      </c>
      <c r="F98" t="inlineStr">
        <is>
          <t>kt</t>
        </is>
      </c>
      <c r="G98" s="4" t="n">
        <v>1892.5</v>
      </c>
      <c r="H98" s="4" t="n">
        <v>1892.5</v>
      </c>
      <c r="I98" s="4" t="n">
        <v>1987</v>
      </c>
      <c r="J98" s="4" t="n">
        <v>1849</v>
      </c>
      <c r="K98" s="4" t="n">
        <v>1909</v>
      </c>
      <c r="Q98" t="inlineStr">
        <is>
          <t>kbd</t>
        </is>
      </c>
      <c r="R98" s="5">
        <f>G98*7.33/(G$3)</f>
        <v/>
      </c>
      <c r="S98" s="5">
        <f>H98*7.33/(H$3)</f>
        <v/>
      </c>
      <c r="T98" s="5">
        <f>I98*7.33/(I$3)</f>
        <v/>
      </c>
      <c r="U98" s="5">
        <f>J98*7.33/(J$3)</f>
        <v/>
      </c>
      <c r="V98" s="5">
        <f>K98*7.33/(K$3)</f>
        <v/>
      </c>
      <c r="W98" s="5">
        <f>L98*7.33/(L$3)</f>
        <v/>
      </c>
    </row>
    <row r="99">
      <c r="C99" s="6" t="inlineStr">
        <is>
          <t>LOCAL OIL PRODUCTION</t>
        </is>
      </c>
      <c r="D99" t="inlineStr">
        <is>
          <t>equity_owner</t>
        </is>
      </c>
      <c r="E99" t="inlineStr">
        <is>
          <t>CNOOC</t>
        </is>
      </c>
      <c r="F99" t="inlineStr">
        <is>
          <t>kt</t>
        </is>
      </c>
      <c r="G99" s="4" t="n">
        <v>1892.5</v>
      </c>
      <c r="H99" s="4" t="n">
        <v>1892.5</v>
      </c>
      <c r="I99" s="4" t="n">
        <v>1987</v>
      </c>
      <c r="J99" s="4" t="n">
        <v>1849</v>
      </c>
      <c r="K99" s="4" t="n">
        <v>1909</v>
      </c>
      <c r="Q99" t="inlineStr">
        <is>
          <t>kbd</t>
        </is>
      </c>
      <c r="R99" s="5">
        <f>G99*7.33/(G$3)</f>
        <v/>
      </c>
      <c r="S99" s="5">
        <f>H99*7.33/(H$3)</f>
        <v/>
      </c>
      <c r="T99" s="5">
        <f>I99*7.33/(I$3)</f>
        <v/>
      </c>
      <c r="U99" s="5">
        <f>J99*7.33/(J$3)</f>
        <v/>
      </c>
      <c r="V99" s="5">
        <f>K99*7.33/(K$3)</f>
        <v/>
      </c>
      <c r="W99" s="5">
        <f>L99*7.33/(L$3)</f>
        <v/>
      </c>
    </row>
    <row r="100">
      <c r="C100" s="6" t="inlineStr">
        <is>
          <t>LOCAL OIL PRODUCTION</t>
        </is>
      </c>
      <c r="D100" t="inlineStr">
        <is>
          <t>field_name</t>
        </is>
      </c>
      <c r="E100" t="inlineStr">
        <is>
          <t>Offshore crude</t>
        </is>
      </c>
      <c r="F100" t="inlineStr">
        <is>
          <t>kt</t>
        </is>
      </c>
      <c r="G100" s="4" t="n">
        <v>1892.5</v>
      </c>
      <c r="H100" s="4" t="n">
        <v>1892.5</v>
      </c>
      <c r="I100" s="4" t="n">
        <v>1987</v>
      </c>
      <c r="J100" s="4" t="n">
        <v>1849</v>
      </c>
      <c r="K100" s="4" t="n">
        <v>1909</v>
      </c>
      <c r="Q100" t="inlineStr">
        <is>
          <t>kbd</t>
        </is>
      </c>
      <c r="R100" s="5">
        <f>G100*7.33/(G$3)</f>
        <v/>
      </c>
      <c r="S100" s="5">
        <f>H100*7.33/(H$3)</f>
        <v/>
      </c>
      <c r="T100" s="5">
        <f>I100*7.33/(I$3)</f>
        <v/>
      </c>
      <c r="U100" s="5">
        <f>J100*7.33/(J$3)</f>
        <v/>
      </c>
      <c r="V100" s="5">
        <f>K100*7.33/(K$3)</f>
        <v/>
      </c>
      <c r="W100" s="5">
        <f>L100*7.33/(L$3)</f>
        <v/>
      </c>
    </row>
    <row r="101">
      <c r="C101" s="6" t="inlineStr">
        <is>
          <t>LOCAL OIL PRODUCTION</t>
        </is>
      </c>
      <c r="D101" t="inlineStr">
        <is>
          <t>province</t>
        </is>
      </c>
      <c r="E101" t="inlineStr">
        <is>
          <t>Guangxi</t>
        </is>
      </c>
      <c r="F101" t="inlineStr">
        <is>
          <t>kt</t>
        </is>
      </c>
      <c r="G101" s="4" t="n">
        <v>26</v>
      </c>
      <c r="H101" s="4" t="n">
        <v>26</v>
      </c>
      <c r="I101" s="4" t="n">
        <v>28</v>
      </c>
      <c r="J101" s="4" t="n">
        <v>28</v>
      </c>
      <c r="K101" s="4" t="n">
        <v>28</v>
      </c>
      <c r="Q101" t="inlineStr">
        <is>
          <t>kbd</t>
        </is>
      </c>
      <c r="R101" s="5">
        <f>G101*7.33/(G$3)</f>
        <v/>
      </c>
      <c r="S101" s="5">
        <f>H101*7.33/(H$3)</f>
        <v/>
      </c>
      <c r="T101" s="5">
        <f>I101*7.33/(I$3)</f>
        <v/>
      </c>
      <c r="U101" s="5">
        <f>J101*7.33/(J$3)</f>
        <v/>
      </c>
      <c r="V101" s="5">
        <f>K101*7.33/(K$3)</f>
        <v/>
      </c>
      <c r="W101" s="5">
        <f>L101*7.33/(L$3)</f>
        <v/>
      </c>
    </row>
    <row r="102">
      <c r="C102" s="6" t="inlineStr">
        <is>
          <t>LOCAL OIL PRODUCTION</t>
        </is>
      </c>
      <c r="D102" t="inlineStr">
        <is>
          <t>equity_owner</t>
        </is>
      </c>
      <c r="E102" t="inlineStr">
        <is>
          <t>PetroChina</t>
        </is>
      </c>
      <c r="F102" t="inlineStr">
        <is>
          <t>kt</t>
        </is>
      </c>
      <c r="G102" s="4" t="n">
        <v>26</v>
      </c>
      <c r="H102" s="4" t="n">
        <v>26</v>
      </c>
      <c r="I102" s="4" t="n">
        <v>28</v>
      </c>
      <c r="J102" s="4" t="n">
        <v>28</v>
      </c>
      <c r="K102" s="4" t="n">
        <v>28</v>
      </c>
      <c r="Q102" t="inlineStr">
        <is>
          <t>kbd</t>
        </is>
      </c>
      <c r="R102" s="5">
        <f>G102*7.33/(G$3)</f>
        <v/>
      </c>
      <c r="S102" s="5">
        <f>H102*7.33/(H$3)</f>
        <v/>
      </c>
      <c r="T102" s="5">
        <f>I102*7.33/(I$3)</f>
        <v/>
      </c>
      <c r="U102" s="5">
        <f>J102*7.33/(J$3)</f>
        <v/>
      </c>
      <c r="V102" s="5">
        <f>K102*7.33/(K$3)</f>
        <v/>
      </c>
      <c r="W102" s="5">
        <f>L102*7.33/(L$3)</f>
        <v/>
      </c>
    </row>
    <row r="103">
      <c r="C103" s="6" t="inlineStr">
        <is>
          <t>LOCAL OIL PRODUCTION</t>
        </is>
      </c>
      <c r="D103" t="inlineStr">
        <is>
          <t>field_name</t>
        </is>
      </c>
      <c r="E103" t="inlineStr">
        <is>
          <t>Baise Oilfield</t>
        </is>
      </c>
      <c r="F103" t="inlineStr">
        <is>
          <t>kt</t>
        </is>
      </c>
      <c r="G103" s="4" t="n">
        <v>26</v>
      </c>
      <c r="H103" s="4" t="n">
        <v>26</v>
      </c>
      <c r="I103" s="4" t="n">
        <v>28</v>
      </c>
      <c r="J103" s="4" t="n">
        <v>28</v>
      </c>
      <c r="K103" s="4" t="n">
        <v>28</v>
      </c>
      <c r="Q103" t="inlineStr">
        <is>
          <t>kbd</t>
        </is>
      </c>
      <c r="R103" s="5">
        <f>G103*7.33/(G$3)</f>
        <v/>
      </c>
      <c r="S103" s="5">
        <f>H103*7.33/(H$3)</f>
        <v/>
      </c>
      <c r="T103" s="5">
        <f>I103*7.33/(I$3)</f>
        <v/>
      </c>
      <c r="U103" s="5">
        <f>J103*7.33/(J$3)</f>
        <v/>
      </c>
      <c r="V103" s="5">
        <f>K103*7.33/(K$3)</f>
        <v/>
      </c>
      <c r="W103" s="5">
        <f>L103*7.33/(L$3)</f>
        <v/>
      </c>
    </row>
    <row r="104">
      <c r="C104" s="6" t="inlineStr">
        <is>
          <t>LOCAL OIL PRODUCTION</t>
        </is>
      </c>
      <c r="D104" t="inlineStr">
        <is>
          <t>province</t>
        </is>
      </c>
      <c r="E104" t="inlineStr">
        <is>
          <t>Hainan</t>
        </is>
      </c>
      <c r="F104" t="inlineStr">
        <is>
          <t>kt</t>
        </is>
      </c>
      <c r="G104" s="4" t="n">
        <v>93</v>
      </c>
      <c r="H104" s="4" t="n">
        <v>93</v>
      </c>
      <c r="I104" s="4" t="n">
        <v>108</v>
      </c>
      <c r="J104" s="4" t="n">
        <v>101</v>
      </c>
      <c r="K104" s="4" t="n">
        <v>86</v>
      </c>
      <c r="Q104" t="inlineStr">
        <is>
          <t>kbd</t>
        </is>
      </c>
      <c r="R104" s="5">
        <f>G104*7.33/(G$3)</f>
        <v/>
      </c>
      <c r="S104" s="5">
        <f>H104*7.33/(H$3)</f>
        <v/>
      </c>
      <c r="T104" s="5">
        <f>I104*7.33/(I$3)</f>
        <v/>
      </c>
      <c r="U104" s="5">
        <f>J104*7.33/(J$3)</f>
        <v/>
      </c>
      <c r="V104" s="5">
        <f>K104*7.33/(K$3)</f>
        <v/>
      </c>
      <c r="W104" s="5">
        <f>L104*7.33/(L$3)</f>
        <v/>
      </c>
    </row>
    <row r="105">
      <c r="C105" s="6" t="inlineStr">
        <is>
          <t>LOCAL OIL PRODUCTION</t>
        </is>
      </c>
      <c r="D105" t="inlineStr">
        <is>
          <t>equity_owner</t>
        </is>
      </c>
      <c r="E105" t="inlineStr">
        <is>
          <t>CNOOC</t>
        </is>
      </c>
      <c r="F105" t="inlineStr">
        <is>
          <t>kt</t>
        </is>
      </c>
      <c r="G105" s="4" t="n">
        <v>93</v>
      </c>
      <c r="H105" s="4" t="n">
        <v>93</v>
      </c>
      <c r="I105" s="4" t="n">
        <v>108</v>
      </c>
      <c r="J105" s="4" t="n">
        <v>101</v>
      </c>
      <c r="K105" s="4" t="n">
        <v>86</v>
      </c>
      <c r="Q105" t="inlineStr">
        <is>
          <t>kbd</t>
        </is>
      </c>
      <c r="R105" s="5">
        <f>G105*7.33/(G$3)</f>
        <v/>
      </c>
      <c r="S105" s="5">
        <f>H105*7.33/(H$3)</f>
        <v/>
      </c>
      <c r="T105" s="5">
        <f>I105*7.33/(I$3)</f>
        <v/>
      </c>
      <c r="U105" s="5">
        <f>J105*7.33/(J$3)</f>
        <v/>
      </c>
      <c r="V105" s="5">
        <f>K105*7.33/(K$3)</f>
        <v/>
      </c>
      <c r="W105" s="5">
        <f>L105*7.33/(L$3)</f>
        <v/>
      </c>
    </row>
    <row r="106">
      <c r="C106" s="6" t="inlineStr">
        <is>
          <t>LOCAL OIL PRODUCTION</t>
        </is>
      </c>
      <c r="D106" t="inlineStr">
        <is>
          <t>field_name</t>
        </is>
      </c>
      <c r="E106" t="inlineStr">
        <is>
          <t>Offshore crude</t>
        </is>
      </c>
      <c r="F106" t="inlineStr">
        <is>
          <t>kt</t>
        </is>
      </c>
      <c r="G106" s="4" t="n">
        <v>93</v>
      </c>
      <c r="H106" s="4" t="n">
        <v>93</v>
      </c>
      <c r="I106" s="4" t="n">
        <v>108</v>
      </c>
      <c r="J106" s="4" t="n">
        <v>101</v>
      </c>
      <c r="K106" s="4" t="n">
        <v>86</v>
      </c>
      <c r="Q106" t="inlineStr">
        <is>
          <t>kbd</t>
        </is>
      </c>
      <c r="R106" s="5">
        <f>G106*7.33/(G$3)</f>
        <v/>
      </c>
      <c r="S106" s="5">
        <f>H106*7.33/(H$3)</f>
        <v/>
      </c>
      <c r="T106" s="5">
        <f>I106*7.33/(I$3)</f>
        <v/>
      </c>
      <c r="U106" s="5">
        <f>J106*7.33/(J$3)</f>
        <v/>
      </c>
      <c r="V106" s="5">
        <f>K106*7.33/(K$3)</f>
        <v/>
      </c>
      <c r="W106" s="5">
        <f>L106*7.33/(L$3)</f>
        <v/>
      </c>
    </row>
    <row r="107">
      <c r="C107" s="6" t="inlineStr">
        <is>
          <t>LOCAL OIL PRODUCTION</t>
        </is>
      </c>
      <c r="D107" t="inlineStr">
        <is>
          <t>province</t>
        </is>
      </c>
      <c r="E107" t="inlineStr">
        <is>
          <t>Hebei</t>
        </is>
      </c>
      <c r="F107" t="inlineStr">
        <is>
          <t>kt</t>
        </is>
      </c>
      <c r="G107" s="4" t="n">
        <v>358</v>
      </c>
      <c r="H107" s="4" t="n">
        <v>358</v>
      </c>
      <c r="I107" s="4" t="n">
        <v>367</v>
      </c>
      <c r="J107" s="4" t="n">
        <v>350</v>
      </c>
      <c r="K107" s="4" t="n">
        <v>357</v>
      </c>
      <c r="Q107" t="inlineStr">
        <is>
          <t>kbd</t>
        </is>
      </c>
      <c r="R107" s="5">
        <f>G107*7.33/(G$3)</f>
        <v/>
      </c>
      <c r="S107" s="5">
        <f>H107*7.33/(H$3)</f>
        <v/>
      </c>
      <c r="T107" s="5">
        <f>I107*7.33/(I$3)</f>
        <v/>
      </c>
      <c r="U107" s="5">
        <f>J107*7.33/(J$3)</f>
        <v/>
      </c>
      <c r="V107" s="5">
        <f>K107*7.33/(K$3)</f>
        <v/>
      </c>
      <c r="W107" s="5">
        <f>L107*7.33/(L$3)</f>
        <v/>
      </c>
    </row>
    <row r="108">
      <c r="C108" s="6" t="inlineStr">
        <is>
          <t>LOCAL OIL PRODUCTION</t>
        </is>
      </c>
      <c r="D108" t="inlineStr">
        <is>
          <t>equity_owner</t>
        </is>
      </c>
      <c r="E108" t="inlineStr">
        <is>
          <t>PetroChina</t>
        </is>
      </c>
      <c r="F108" t="inlineStr">
        <is>
          <t>kt</t>
        </is>
      </c>
      <c r="G108" s="4" t="n">
        <v>281</v>
      </c>
      <c r="H108" s="4" t="n">
        <v>281</v>
      </c>
      <c r="I108" s="4" t="n">
        <v>288.0000000000001</v>
      </c>
      <c r="J108" s="4" t="n">
        <v>274</v>
      </c>
      <c r="K108" s="4" t="n">
        <v>280.0000000000001</v>
      </c>
      <c r="Q108" t="inlineStr">
        <is>
          <t>kbd</t>
        </is>
      </c>
      <c r="R108" s="5">
        <f>G108*7.33/(G$3)</f>
        <v/>
      </c>
      <c r="S108" s="5">
        <f>H108*7.33/(H$3)</f>
        <v/>
      </c>
      <c r="T108" s="5">
        <f>I108*7.33/(I$3)</f>
        <v/>
      </c>
      <c r="U108" s="5">
        <f>J108*7.33/(J$3)</f>
        <v/>
      </c>
      <c r="V108" s="5">
        <f>K108*7.33/(K$3)</f>
        <v/>
      </c>
      <c r="W108" s="5">
        <f>L108*7.33/(L$3)</f>
        <v/>
      </c>
    </row>
    <row r="109">
      <c r="C109" s="6" t="inlineStr">
        <is>
          <t>LOCAL OIL PRODUCTION</t>
        </is>
      </c>
      <c r="D109" t="inlineStr">
        <is>
          <t>field_name</t>
        </is>
      </c>
      <c r="E109" t="inlineStr">
        <is>
          <t>Huabei Oilfield</t>
        </is>
      </c>
      <c r="F109" t="inlineStr">
        <is>
          <t>kt</t>
        </is>
      </c>
      <c r="G109" s="4" t="n">
        <v>223</v>
      </c>
      <c r="H109" s="4" t="n">
        <v>223</v>
      </c>
      <c r="I109" s="4" t="n">
        <v>228</v>
      </c>
      <c r="J109" s="4" t="n">
        <v>218</v>
      </c>
      <c r="K109" s="4" t="n">
        <v>222</v>
      </c>
      <c r="Q109" t="inlineStr">
        <is>
          <t>kbd</t>
        </is>
      </c>
      <c r="R109" s="5">
        <f>G109*7.33/(G$3)</f>
        <v/>
      </c>
      <c r="S109" s="5">
        <f>H109*7.33/(H$3)</f>
        <v/>
      </c>
      <c r="T109" s="5">
        <f>I109*7.33/(I$3)</f>
        <v/>
      </c>
      <c r="U109" s="5">
        <f>J109*7.33/(J$3)</f>
        <v/>
      </c>
      <c r="V109" s="5">
        <f>K109*7.33/(K$3)</f>
        <v/>
      </c>
      <c r="W109" s="5">
        <f>L109*7.33/(L$3)</f>
        <v/>
      </c>
    </row>
    <row r="110">
      <c r="C110" s="6" t="inlineStr">
        <is>
          <t>LOCAL OIL PRODUCTION</t>
        </is>
      </c>
      <c r="D110" t="inlineStr">
        <is>
          <t>field_name</t>
        </is>
      </c>
      <c r="E110" t="inlineStr">
        <is>
          <t>Jidong Oilfield</t>
        </is>
      </c>
      <c r="F110" t="inlineStr">
        <is>
          <t>kt</t>
        </is>
      </c>
      <c r="G110" s="4" t="n">
        <v>57.99999999999997</v>
      </c>
      <c r="H110" s="4" t="n">
        <v>57.99999999999997</v>
      </c>
      <c r="I110" s="4" t="n">
        <v>60.00000000000004</v>
      </c>
      <c r="J110" s="4" t="n">
        <v>55.99999999999998</v>
      </c>
      <c r="K110" s="4" t="n">
        <v>58.00000000000004</v>
      </c>
      <c r="Q110" t="inlineStr">
        <is>
          <t>kbd</t>
        </is>
      </c>
      <c r="R110" s="5">
        <f>G110*7.33/(G$3)</f>
        <v/>
      </c>
      <c r="S110" s="5">
        <f>H110*7.33/(H$3)</f>
        <v/>
      </c>
      <c r="T110" s="5">
        <f>I110*7.33/(I$3)</f>
        <v/>
      </c>
      <c r="U110" s="5">
        <f>J110*7.33/(J$3)</f>
        <v/>
      </c>
      <c r="V110" s="5">
        <f>K110*7.33/(K$3)</f>
        <v/>
      </c>
      <c r="W110" s="5">
        <f>L110*7.33/(L$3)</f>
        <v/>
      </c>
    </row>
    <row r="111">
      <c r="C111" s="6" t="inlineStr">
        <is>
          <t>LOCAL OIL PRODUCTION</t>
        </is>
      </c>
      <c r="D111" t="inlineStr">
        <is>
          <t>equity_owner</t>
        </is>
      </c>
      <c r="E111" t="inlineStr">
        <is>
          <t>CNOOC</t>
        </is>
      </c>
      <c r="F111" t="inlineStr">
        <is>
          <t>kt</t>
        </is>
      </c>
      <c r="G111" s="4" t="n">
        <v>77</v>
      </c>
      <c r="H111" s="4" t="n">
        <v>77</v>
      </c>
      <c r="I111" s="4" t="n">
        <v>79</v>
      </c>
      <c r="J111" s="4" t="n">
        <v>76</v>
      </c>
      <c r="K111" s="4" t="n">
        <v>77</v>
      </c>
      <c r="Q111" t="inlineStr">
        <is>
          <t>kbd</t>
        </is>
      </c>
      <c r="R111" s="5">
        <f>G111*7.33/(G$3)</f>
        <v/>
      </c>
      <c r="S111" s="5">
        <f>H111*7.33/(H$3)</f>
        <v/>
      </c>
      <c r="T111" s="5">
        <f>I111*7.33/(I$3)</f>
        <v/>
      </c>
      <c r="U111" s="5">
        <f>J111*7.33/(J$3)</f>
        <v/>
      </c>
      <c r="V111" s="5">
        <f>K111*7.33/(K$3)</f>
        <v/>
      </c>
      <c r="W111" s="5">
        <f>L111*7.33/(L$3)</f>
        <v/>
      </c>
    </row>
    <row r="112">
      <c r="C112" s="6" t="inlineStr">
        <is>
          <t>LOCAL OIL PRODUCTION</t>
        </is>
      </c>
      <c r="D112" t="inlineStr">
        <is>
          <t>field_name</t>
        </is>
      </c>
      <c r="E112" t="inlineStr">
        <is>
          <t>Offshore crude</t>
        </is>
      </c>
      <c r="F112" t="inlineStr">
        <is>
          <t>kt</t>
        </is>
      </c>
      <c r="G112" s="4" t="n">
        <v>77</v>
      </c>
      <c r="H112" s="4" t="n">
        <v>77</v>
      </c>
      <c r="I112" s="4" t="n">
        <v>79</v>
      </c>
      <c r="J112" s="4" t="n">
        <v>76</v>
      </c>
      <c r="K112" s="4" t="n">
        <v>77</v>
      </c>
      <c r="Q112" t="inlineStr">
        <is>
          <t>kbd</t>
        </is>
      </c>
      <c r="R112" s="5">
        <f>G112*7.33/(G$3)</f>
        <v/>
      </c>
      <c r="S112" s="5">
        <f>H112*7.33/(H$3)</f>
        <v/>
      </c>
      <c r="T112" s="5">
        <f>I112*7.33/(I$3)</f>
        <v/>
      </c>
      <c r="U112" s="5">
        <f>J112*7.33/(J$3)</f>
        <v/>
      </c>
      <c r="V112" s="5">
        <f>K112*7.33/(K$3)</f>
        <v/>
      </c>
      <c r="W112" s="5">
        <f>L112*7.33/(L$3)</f>
        <v/>
      </c>
    </row>
    <row r="113">
      <c r="C113" s="6" t="inlineStr">
        <is>
          <t>LOCAL OIL PRODUCTION</t>
        </is>
      </c>
      <c r="D113" t="inlineStr">
        <is>
          <t>province</t>
        </is>
      </c>
      <c r="E113" t="inlineStr">
        <is>
          <t>Heilongjiang</t>
        </is>
      </c>
      <c r="F113" t="inlineStr">
        <is>
          <t>kt</t>
        </is>
      </c>
      <c r="G113" s="4" t="n">
        <v>2430</v>
      </c>
      <c r="H113" s="4" t="n">
        <v>2430</v>
      </c>
      <c r="I113" s="4" t="n">
        <v>2591</v>
      </c>
      <c r="J113" s="4" t="n">
        <v>2411</v>
      </c>
      <c r="K113" s="4" t="n">
        <v>2460</v>
      </c>
      <c r="Q113" t="inlineStr">
        <is>
          <t>kbd</t>
        </is>
      </c>
      <c r="R113" s="5">
        <f>G113*7.33/(G$3)</f>
        <v/>
      </c>
      <c r="S113" s="5">
        <f>H113*7.33/(H$3)</f>
        <v/>
      </c>
      <c r="T113" s="5">
        <f>I113*7.33/(I$3)</f>
        <v/>
      </c>
      <c r="U113" s="5">
        <f>J113*7.33/(J$3)</f>
        <v/>
      </c>
      <c r="V113" s="5">
        <f>K113*7.33/(K$3)</f>
        <v/>
      </c>
      <c r="W113" s="5">
        <f>L113*7.33/(L$3)</f>
        <v/>
      </c>
    </row>
    <row r="114">
      <c r="C114" s="6" t="inlineStr">
        <is>
          <t>LOCAL OIL PRODUCTION</t>
        </is>
      </c>
      <c r="D114" t="inlineStr">
        <is>
          <t>equity_owner</t>
        </is>
      </c>
      <c r="E114" t="inlineStr">
        <is>
          <t>PetroChina</t>
        </is>
      </c>
      <c r="F114" t="inlineStr">
        <is>
          <t>kt</t>
        </is>
      </c>
      <c r="G114" s="4" t="n">
        <v>2430</v>
      </c>
      <c r="H114" s="4" t="n">
        <v>2430</v>
      </c>
      <c r="I114" s="4" t="n">
        <v>2591</v>
      </c>
      <c r="J114" s="4" t="n">
        <v>2411</v>
      </c>
      <c r="K114" s="4" t="n">
        <v>2460</v>
      </c>
      <c r="Q114" t="inlineStr">
        <is>
          <t>kbd</t>
        </is>
      </c>
      <c r="R114" s="5">
        <f>G114*7.33/(G$3)</f>
        <v/>
      </c>
      <c r="S114" s="5">
        <f>H114*7.33/(H$3)</f>
        <v/>
      </c>
      <c r="T114" s="5">
        <f>I114*7.33/(I$3)</f>
        <v/>
      </c>
      <c r="U114" s="5">
        <f>J114*7.33/(J$3)</f>
        <v/>
      </c>
      <c r="V114" s="5">
        <f>K114*7.33/(K$3)</f>
        <v/>
      </c>
      <c r="W114" s="5">
        <f>L114*7.33/(L$3)</f>
        <v/>
      </c>
    </row>
    <row r="115">
      <c r="C115" s="6" t="inlineStr">
        <is>
          <t>LOCAL OIL PRODUCTION</t>
        </is>
      </c>
      <c r="D115" t="inlineStr">
        <is>
          <t>field_name</t>
        </is>
      </c>
      <c r="E115" t="inlineStr">
        <is>
          <t>Daqing Oilfield</t>
        </is>
      </c>
      <c r="F115" t="inlineStr">
        <is>
          <t>kt</t>
        </is>
      </c>
      <c r="G115" s="4" t="n">
        <v>2430</v>
      </c>
      <c r="H115" s="4" t="n">
        <v>2430</v>
      </c>
      <c r="I115" s="4" t="n">
        <v>2591</v>
      </c>
      <c r="J115" s="4" t="n">
        <v>2411</v>
      </c>
      <c r="K115" s="4" t="n">
        <v>2460</v>
      </c>
      <c r="Q115" t="inlineStr">
        <is>
          <t>kbd</t>
        </is>
      </c>
      <c r="R115" s="5">
        <f>G115*7.33/(G$3)</f>
        <v/>
      </c>
      <c r="S115" s="5">
        <f>H115*7.33/(H$3)</f>
        <v/>
      </c>
      <c r="T115" s="5">
        <f>I115*7.33/(I$3)</f>
        <v/>
      </c>
      <c r="U115" s="5">
        <f>J115*7.33/(J$3)</f>
        <v/>
      </c>
      <c r="V115" s="5">
        <f>K115*7.33/(K$3)</f>
        <v/>
      </c>
      <c r="W115" s="5">
        <f>L115*7.33/(L$3)</f>
        <v/>
      </c>
    </row>
    <row r="116">
      <c r="C116" s="6" t="inlineStr">
        <is>
          <t>LOCAL OIL PRODUCTION</t>
        </is>
      </c>
      <c r="D116" t="inlineStr">
        <is>
          <t>province</t>
        </is>
      </c>
      <c r="E116" t="inlineStr">
        <is>
          <t>Henan</t>
        </is>
      </c>
      <c r="F116" t="inlineStr">
        <is>
          <t>kt</t>
        </is>
      </c>
      <c r="G116" s="4" t="n">
        <v>180.5</v>
      </c>
      <c r="H116" s="4" t="n">
        <v>180.5</v>
      </c>
      <c r="I116" s="4" t="n">
        <v>188</v>
      </c>
      <c r="J116" s="4" t="n">
        <v>178</v>
      </c>
      <c r="K116" s="4" t="n">
        <v>184</v>
      </c>
      <c r="Q116" t="inlineStr">
        <is>
          <t>kbd</t>
        </is>
      </c>
      <c r="R116" s="5">
        <f>G116*7.33/(G$3)</f>
        <v/>
      </c>
      <c r="S116" s="5">
        <f>H116*7.33/(H$3)</f>
        <v/>
      </c>
      <c r="T116" s="5">
        <f>I116*7.33/(I$3)</f>
        <v/>
      </c>
      <c r="U116" s="5">
        <f>J116*7.33/(J$3)</f>
        <v/>
      </c>
      <c r="V116" s="5">
        <f>K116*7.33/(K$3)</f>
        <v/>
      </c>
      <c r="W116" s="5">
        <f>L116*7.33/(L$3)</f>
        <v/>
      </c>
    </row>
    <row r="117">
      <c r="C117" s="6" t="inlineStr">
        <is>
          <t>LOCAL OIL PRODUCTION</t>
        </is>
      </c>
      <c r="D117" t="inlineStr">
        <is>
          <t>equity_owner</t>
        </is>
      </c>
      <c r="E117" t="inlineStr">
        <is>
          <t>Sinopec</t>
        </is>
      </c>
      <c r="F117" t="inlineStr">
        <is>
          <t>kt</t>
        </is>
      </c>
      <c r="G117" s="4" t="n">
        <v>180.5</v>
      </c>
      <c r="H117" s="4" t="n">
        <v>180.5</v>
      </c>
      <c r="I117" s="4" t="n">
        <v>188</v>
      </c>
      <c r="J117" s="4" t="n">
        <v>178</v>
      </c>
      <c r="K117" s="4" t="n">
        <v>184</v>
      </c>
      <c r="Q117" t="inlineStr">
        <is>
          <t>kbd</t>
        </is>
      </c>
      <c r="R117" s="5">
        <f>G117*7.33/(G$3)</f>
        <v/>
      </c>
      <c r="S117" s="5">
        <f>H117*7.33/(H$3)</f>
        <v/>
      </c>
      <c r="T117" s="5">
        <f>I117*7.33/(I$3)</f>
        <v/>
      </c>
      <c r="U117" s="5">
        <f>J117*7.33/(J$3)</f>
        <v/>
      </c>
      <c r="V117" s="5">
        <f>K117*7.33/(K$3)</f>
        <v/>
      </c>
      <c r="W117" s="5">
        <f>L117*7.33/(L$3)</f>
        <v/>
      </c>
    </row>
    <row r="118">
      <c r="C118" s="6" t="inlineStr">
        <is>
          <t>LOCAL OIL PRODUCTION</t>
        </is>
      </c>
      <c r="D118" t="inlineStr">
        <is>
          <t>field_name</t>
        </is>
      </c>
      <c r="E118" t="inlineStr">
        <is>
          <t>Henan Oilfield</t>
        </is>
      </c>
      <c r="F118" t="inlineStr">
        <is>
          <t>kt</t>
        </is>
      </c>
      <c r="G118" s="4" t="n">
        <v>88.50000000000001</v>
      </c>
      <c r="H118" s="4" t="n">
        <v>88.50000000000001</v>
      </c>
      <c r="I118" s="4" t="n">
        <v>93</v>
      </c>
      <c r="J118" s="4" t="n">
        <v>88</v>
      </c>
      <c r="K118" s="4" t="n">
        <v>90.99999999999997</v>
      </c>
      <c r="Q118" t="inlineStr">
        <is>
          <t>kbd</t>
        </is>
      </c>
      <c r="R118" s="5">
        <f>G118*7.33/(G$3)</f>
        <v/>
      </c>
      <c r="S118" s="5">
        <f>H118*7.33/(H$3)</f>
        <v/>
      </c>
      <c r="T118" s="5">
        <f>I118*7.33/(I$3)</f>
        <v/>
      </c>
      <c r="U118" s="5">
        <f>J118*7.33/(J$3)</f>
        <v/>
      </c>
      <c r="V118" s="5">
        <f>K118*7.33/(K$3)</f>
        <v/>
      </c>
      <c r="W118" s="5">
        <f>L118*7.33/(L$3)</f>
        <v/>
      </c>
    </row>
    <row r="119">
      <c r="C119" s="6" t="inlineStr">
        <is>
          <t>LOCAL OIL PRODUCTION</t>
        </is>
      </c>
      <c r="D119" t="inlineStr">
        <is>
          <t>field_name</t>
        </is>
      </c>
      <c r="E119" t="inlineStr">
        <is>
          <t>Zhongyuan Oilfield</t>
        </is>
      </c>
      <c r="F119" t="inlineStr">
        <is>
          <t>kt</t>
        </is>
      </c>
      <c r="G119" s="4" t="n">
        <v>92</v>
      </c>
      <c r="H119" s="4" t="n">
        <v>92</v>
      </c>
      <c r="I119" s="4" t="n">
        <v>95</v>
      </c>
      <c r="J119" s="4" t="n">
        <v>90</v>
      </c>
      <c r="K119" s="4" t="n">
        <v>93</v>
      </c>
      <c r="Q119" t="inlineStr">
        <is>
          <t>kbd</t>
        </is>
      </c>
      <c r="R119" s="5">
        <f>G119*7.33/(G$3)</f>
        <v/>
      </c>
      <c r="S119" s="5">
        <f>H119*7.33/(H$3)</f>
        <v/>
      </c>
      <c r="T119" s="5">
        <f>I119*7.33/(I$3)</f>
        <v/>
      </c>
      <c r="U119" s="5">
        <f>J119*7.33/(J$3)</f>
        <v/>
      </c>
      <c r="V119" s="5">
        <f>K119*7.33/(K$3)</f>
        <v/>
      </c>
      <c r="W119" s="5">
        <f>L119*7.33/(L$3)</f>
        <v/>
      </c>
    </row>
    <row r="120">
      <c r="C120" s="6" t="inlineStr">
        <is>
          <t>LOCAL OIL PRODUCTION</t>
        </is>
      </c>
      <c r="D120" t="inlineStr">
        <is>
          <t>province</t>
        </is>
      </c>
      <c r="E120" t="inlineStr">
        <is>
          <t>Hubei</t>
        </is>
      </c>
      <c r="F120" t="inlineStr">
        <is>
          <t>kt</t>
        </is>
      </c>
      <c r="G120" s="4" t="n">
        <v>42.5</v>
      </c>
      <c r="H120" s="4" t="n">
        <v>42.5</v>
      </c>
      <c r="I120" s="4" t="n">
        <v>44</v>
      </c>
      <c r="J120" s="4" t="n">
        <v>41</v>
      </c>
      <c r="K120" s="4" t="n">
        <v>42</v>
      </c>
      <c r="Q120" t="inlineStr">
        <is>
          <t>kbd</t>
        </is>
      </c>
      <c r="R120" s="5">
        <f>G120*7.33/(G$3)</f>
        <v/>
      </c>
      <c r="S120" s="5">
        <f>H120*7.33/(H$3)</f>
        <v/>
      </c>
      <c r="T120" s="5">
        <f>I120*7.33/(I$3)</f>
        <v/>
      </c>
      <c r="U120" s="5">
        <f>J120*7.33/(J$3)</f>
        <v/>
      </c>
      <c r="V120" s="5">
        <f>K120*7.33/(K$3)</f>
        <v/>
      </c>
      <c r="W120" s="5">
        <f>L120*7.33/(L$3)</f>
        <v/>
      </c>
    </row>
    <row r="121">
      <c r="C121" s="6" t="inlineStr">
        <is>
          <t>LOCAL OIL PRODUCTION</t>
        </is>
      </c>
      <c r="D121" t="inlineStr">
        <is>
          <t>equity_owner</t>
        </is>
      </c>
      <c r="E121" t="inlineStr">
        <is>
          <t>Sinopec</t>
        </is>
      </c>
      <c r="F121" t="inlineStr">
        <is>
          <t>kt</t>
        </is>
      </c>
      <c r="G121" s="4" t="n">
        <v>42.5</v>
      </c>
      <c r="H121" s="4" t="n">
        <v>42.5</v>
      </c>
      <c r="I121" s="4" t="n">
        <v>44</v>
      </c>
      <c r="J121" s="4" t="n">
        <v>41</v>
      </c>
      <c r="K121" s="4" t="n">
        <v>42</v>
      </c>
      <c r="Q121" t="inlineStr">
        <is>
          <t>kbd</t>
        </is>
      </c>
      <c r="R121" s="5">
        <f>G121*7.33/(G$3)</f>
        <v/>
      </c>
      <c r="S121" s="5">
        <f>H121*7.33/(H$3)</f>
        <v/>
      </c>
      <c r="T121" s="5">
        <f>I121*7.33/(I$3)</f>
        <v/>
      </c>
      <c r="U121" s="5">
        <f>J121*7.33/(J$3)</f>
        <v/>
      </c>
      <c r="V121" s="5">
        <f>K121*7.33/(K$3)</f>
        <v/>
      </c>
      <c r="W121" s="5">
        <f>L121*7.33/(L$3)</f>
        <v/>
      </c>
    </row>
    <row r="122">
      <c r="C122" s="6" t="inlineStr">
        <is>
          <t>LOCAL OIL PRODUCTION</t>
        </is>
      </c>
      <c r="D122" t="inlineStr">
        <is>
          <t>field_name</t>
        </is>
      </c>
      <c r="E122" t="inlineStr">
        <is>
          <t>Jianghan Oilfield</t>
        </is>
      </c>
      <c r="F122" t="inlineStr">
        <is>
          <t>kt</t>
        </is>
      </c>
      <c r="G122" s="4" t="n">
        <v>42.5</v>
      </c>
      <c r="H122" s="4" t="n">
        <v>42.5</v>
      </c>
      <c r="I122" s="4" t="n">
        <v>44</v>
      </c>
      <c r="J122" s="4" t="n">
        <v>41</v>
      </c>
      <c r="K122" s="4" t="n">
        <v>42</v>
      </c>
      <c r="Q122" t="inlineStr">
        <is>
          <t>kbd</t>
        </is>
      </c>
      <c r="R122" s="5">
        <f>G122*7.33/(G$3)</f>
        <v/>
      </c>
      <c r="S122" s="5">
        <f>H122*7.33/(H$3)</f>
        <v/>
      </c>
      <c r="T122" s="5">
        <f>I122*7.33/(I$3)</f>
        <v/>
      </c>
      <c r="U122" s="5">
        <f>J122*7.33/(J$3)</f>
        <v/>
      </c>
      <c r="V122" s="5">
        <f>K122*7.33/(K$3)</f>
        <v/>
      </c>
      <c r="W122" s="5">
        <f>L122*7.33/(L$3)</f>
        <v/>
      </c>
    </row>
    <row r="123">
      <c r="C123" s="6" t="inlineStr">
        <is>
          <t>LOCAL OIL PRODUCTION</t>
        </is>
      </c>
      <c r="D123" t="inlineStr">
        <is>
          <t>province</t>
        </is>
      </c>
      <c r="E123" t="inlineStr">
        <is>
          <t>Inner Mongolia</t>
        </is>
      </c>
      <c r="F123" t="inlineStr">
        <is>
          <t>kt</t>
        </is>
      </c>
      <c r="G123" s="4" t="n">
        <v>197</v>
      </c>
      <c r="H123" s="4" t="n">
        <v>197</v>
      </c>
      <c r="I123" s="4" t="n">
        <v>210</v>
      </c>
      <c r="J123" s="4" t="n">
        <v>197</v>
      </c>
      <c r="K123" s="4" t="n">
        <v>201</v>
      </c>
      <c r="Q123" t="inlineStr">
        <is>
          <t>kbd</t>
        </is>
      </c>
      <c r="R123" s="5">
        <f>G123*7.33/(G$3)</f>
        <v/>
      </c>
      <c r="S123" s="5">
        <f>H123*7.33/(H$3)</f>
        <v/>
      </c>
      <c r="T123" s="5">
        <f>I123*7.33/(I$3)</f>
        <v/>
      </c>
      <c r="U123" s="5">
        <f>J123*7.33/(J$3)</f>
        <v/>
      </c>
      <c r="V123" s="5">
        <f>K123*7.33/(K$3)</f>
        <v/>
      </c>
      <c r="W123" s="5">
        <f>L123*7.33/(L$3)</f>
        <v/>
      </c>
    </row>
    <row r="124">
      <c r="C124" s="6" t="inlineStr">
        <is>
          <t>LOCAL OIL PRODUCTION</t>
        </is>
      </c>
      <c r="D124" t="inlineStr">
        <is>
          <t>equity_owner</t>
        </is>
      </c>
      <c r="E124" t="inlineStr">
        <is>
          <t>PetroChina</t>
        </is>
      </c>
      <c r="F124" t="inlineStr">
        <is>
          <t>kt</t>
        </is>
      </c>
      <c r="G124" s="4" t="n">
        <v>197</v>
      </c>
      <c r="H124" s="4" t="n">
        <v>197</v>
      </c>
      <c r="I124" s="4" t="n">
        <v>210</v>
      </c>
      <c r="J124" s="4" t="n">
        <v>197</v>
      </c>
      <c r="K124" s="4" t="n">
        <v>201</v>
      </c>
      <c r="Q124" t="inlineStr">
        <is>
          <t>kbd</t>
        </is>
      </c>
      <c r="R124" s="5">
        <f>G124*7.33/(G$3)</f>
        <v/>
      </c>
      <c r="S124" s="5">
        <f>H124*7.33/(H$3)</f>
        <v/>
      </c>
      <c r="T124" s="5">
        <f>I124*7.33/(I$3)</f>
        <v/>
      </c>
      <c r="U124" s="5">
        <f>J124*7.33/(J$3)</f>
        <v/>
      </c>
      <c r="V124" s="5">
        <f>K124*7.33/(K$3)</f>
        <v/>
      </c>
      <c r="W124" s="5">
        <f>L124*7.33/(L$3)</f>
        <v/>
      </c>
    </row>
    <row r="125">
      <c r="C125" s="6" t="inlineStr">
        <is>
          <t>LOCAL OIL PRODUCTION</t>
        </is>
      </c>
      <c r="D125" t="inlineStr">
        <is>
          <t>field_name</t>
        </is>
      </c>
      <c r="E125" t="inlineStr">
        <is>
          <t>Changqing Oilfield</t>
        </is>
      </c>
      <c r="F125" t="inlineStr">
        <is>
          <t>kt</t>
        </is>
      </c>
      <c r="G125" s="4" t="n">
        <v>35.99999999999998</v>
      </c>
      <c r="H125" s="4" t="n">
        <v>35.99999999999998</v>
      </c>
      <c r="I125" s="4" t="n">
        <v>38.00000000000001</v>
      </c>
      <c r="J125" s="4" t="n">
        <v>35.99999999999998</v>
      </c>
      <c r="K125" s="4" t="n">
        <v>37.00000000000003</v>
      </c>
      <c r="Q125" t="inlineStr">
        <is>
          <t>kbd</t>
        </is>
      </c>
      <c r="R125" s="5">
        <f>G125*7.33/(G$3)</f>
        <v/>
      </c>
      <c r="S125" s="5">
        <f>H125*7.33/(H$3)</f>
        <v/>
      </c>
      <c r="T125" s="5">
        <f>I125*7.33/(I$3)</f>
        <v/>
      </c>
      <c r="U125" s="5">
        <f>J125*7.33/(J$3)</f>
        <v/>
      </c>
      <c r="V125" s="5">
        <f>K125*7.33/(K$3)</f>
        <v/>
      </c>
      <c r="W125" s="5">
        <f>L125*7.33/(L$3)</f>
        <v/>
      </c>
    </row>
    <row r="126">
      <c r="C126" s="6" t="inlineStr">
        <is>
          <t>LOCAL OIL PRODUCTION</t>
        </is>
      </c>
      <c r="D126" t="inlineStr">
        <is>
          <t>field_name</t>
        </is>
      </c>
      <c r="E126" t="inlineStr">
        <is>
          <t>Huabei Oilfield</t>
        </is>
      </c>
      <c r="F126" t="inlineStr">
        <is>
          <t>kt</t>
        </is>
      </c>
      <c r="G126" s="4" t="n">
        <v>161</v>
      </c>
      <c r="H126" s="4" t="n">
        <v>161</v>
      </c>
      <c r="I126" s="4" t="n">
        <v>172</v>
      </c>
      <c r="J126" s="4" t="n">
        <v>161</v>
      </c>
      <c r="K126" s="4" t="n">
        <v>164</v>
      </c>
      <c r="Q126" t="inlineStr">
        <is>
          <t>kbd</t>
        </is>
      </c>
      <c r="R126" s="5">
        <f>G126*7.33/(G$3)</f>
        <v/>
      </c>
      <c r="S126" s="5">
        <f>H126*7.33/(H$3)</f>
        <v/>
      </c>
      <c r="T126" s="5">
        <f>I126*7.33/(I$3)</f>
        <v/>
      </c>
      <c r="U126" s="5">
        <f>J126*7.33/(J$3)</f>
        <v/>
      </c>
      <c r="V126" s="5">
        <f>K126*7.33/(K$3)</f>
        <v/>
      </c>
      <c r="W126" s="5">
        <f>L126*7.33/(L$3)</f>
        <v/>
      </c>
    </row>
    <row r="127">
      <c r="C127" s="6" t="inlineStr">
        <is>
          <t>LOCAL OIL PRODUCTION</t>
        </is>
      </c>
      <c r="D127" t="inlineStr">
        <is>
          <t>province</t>
        </is>
      </c>
      <c r="E127" t="inlineStr">
        <is>
          <t>Jiangsu</t>
        </is>
      </c>
      <c r="F127" t="inlineStr">
        <is>
          <t>kt</t>
        </is>
      </c>
      <c r="G127" s="4" t="n">
        <v>134.5</v>
      </c>
      <c r="H127" s="4" t="n">
        <v>134.5</v>
      </c>
      <c r="I127" s="4" t="n">
        <v>142</v>
      </c>
      <c r="J127" s="4" t="n">
        <v>138</v>
      </c>
      <c r="K127" s="4" t="n">
        <v>143</v>
      </c>
      <c r="Q127" t="inlineStr">
        <is>
          <t>kbd</t>
        </is>
      </c>
      <c r="R127" s="5">
        <f>G127*7.33/(G$3)</f>
        <v/>
      </c>
      <c r="S127" s="5">
        <f>H127*7.33/(H$3)</f>
        <v/>
      </c>
      <c r="T127" s="5">
        <f>I127*7.33/(I$3)</f>
        <v/>
      </c>
      <c r="U127" s="5">
        <f>J127*7.33/(J$3)</f>
        <v/>
      </c>
      <c r="V127" s="5">
        <f>K127*7.33/(K$3)</f>
        <v/>
      </c>
      <c r="W127" s="5">
        <f>L127*7.33/(L$3)</f>
        <v/>
      </c>
    </row>
    <row r="128">
      <c r="C128" s="6" t="inlineStr">
        <is>
          <t>LOCAL OIL PRODUCTION</t>
        </is>
      </c>
      <c r="D128" t="inlineStr">
        <is>
          <t>equity_owner</t>
        </is>
      </c>
      <c r="E128" t="inlineStr">
        <is>
          <t>Sinopec</t>
        </is>
      </c>
      <c r="F128" t="inlineStr">
        <is>
          <t>kt</t>
        </is>
      </c>
      <c r="G128" s="4" t="n">
        <v>134.5</v>
      </c>
      <c r="H128" s="4" t="n">
        <v>134.5</v>
      </c>
      <c r="I128" s="4" t="n">
        <v>142</v>
      </c>
      <c r="J128" s="4" t="n">
        <v>138</v>
      </c>
      <c r="K128" s="4" t="n">
        <v>143</v>
      </c>
      <c r="Q128" t="inlineStr">
        <is>
          <t>kbd</t>
        </is>
      </c>
      <c r="R128" s="5">
        <f>G128*7.33/(G$3)</f>
        <v/>
      </c>
      <c r="S128" s="5">
        <f>H128*7.33/(H$3)</f>
        <v/>
      </c>
      <c r="T128" s="5">
        <f>I128*7.33/(I$3)</f>
        <v/>
      </c>
      <c r="U128" s="5">
        <f>J128*7.33/(J$3)</f>
        <v/>
      </c>
      <c r="V128" s="5">
        <f>K128*7.33/(K$3)</f>
        <v/>
      </c>
      <c r="W128" s="5">
        <f>L128*7.33/(L$3)</f>
        <v/>
      </c>
    </row>
    <row r="129">
      <c r="C129" s="6" t="inlineStr">
        <is>
          <t>LOCAL OIL PRODUCTION</t>
        </is>
      </c>
      <c r="D129" t="inlineStr">
        <is>
          <t>field_name</t>
        </is>
      </c>
      <c r="E129" t="inlineStr">
        <is>
          <t>Jiangsu Oilfield</t>
        </is>
      </c>
      <c r="F129" t="inlineStr">
        <is>
          <t>kt</t>
        </is>
      </c>
      <c r="G129" s="4" t="n">
        <v>134.5</v>
      </c>
      <c r="H129" s="4" t="n">
        <v>134.5</v>
      </c>
      <c r="I129" s="4" t="n">
        <v>142</v>
      </c>
      <c r="J129" s="4" t="n">
        <v>138</v>
      </c>
      <c r="K129" s="4" t="n">
        <v>143</v>
      </c>
      <c r="Q129" t="inlineStr">
        <is>
          <t>kbd</t>
        </is>
      </c>
      <c r="R129" s="5">
        <f>G129*7.33/(G$3)</f>
        <v/>
      </c>
      <c r="S129" s="5">
        <f>H129*7.33/(H$3)</f>
        <v/>
      </c>
      <c r="T129" s="5">
        <f>I129*7.33/(I$3)</f>
        <v/>
      </c>
      <c r="U129" s="5">
        <f>J129*7.33/(J$3)</f>
        <v/>
      </c>
      <c r="V129" s="5">
        <f>K129*7.33/(K$3)</f>
        <v/>
      </c>
      <c r="W129" s="5">
        <f>L129*7.33/(L$3)</f>
        <v/>
      </c>
    </row>
    <row r="130">
      <c r="C130" s="6" t="inlineStr">
        <is>
          <t>LOCAL OIL PRODUCTION</t>
        </is>
      </c>
      <c r="D130" t="inlineStr">
        <is>
          <t>province</t>
        </is>
      </c>
      <c r="E130" t="inlineStr">
        <is>
          <t>Jilin</t>
        </is>
      </c>
      <c r="F130" t="inlineStr">
        <is>
          <t>kt</t>
        </is>
      </c>
      <c r="G130" s="4" t="n">
        <v>330.5</v>
      </c>
      <c r="H130" s="4" t="n">
        <v>330.5</v>
      </c>
      <c r="I130" s="4" t="n">
        <v>359</v>
      </c>
      <c r="J130" s="4" t="n">
        <v>351</v>
      </c>
      <c r="K130" s="4" t="n">
        <v>346</v>
      </c>
      <c r="Q130" t="inlineStr">
        <is>
          <t>kbd</t>
        </is>
      </c>
      <c r="R130" s="5">
        <f>G130*7.33/(G$3)</f>
        <v/>
      </c>
      <c r="S130" s="5">
        <f>H130*7.33/(H$3)</f>
        <v/>
      </c>
      <c r="T130" s="5">
        <f>I130*7.33/(I$3)</f>
        <v/>
      </c>
      <c r="U130" s="5">
        <f>J130*7.33/(J$3)</f>
        <v/>
      </c>
      <c r="V130" s="5">
        <f>K130*7.33/(K$3)</f>
        <v/>
      </c>
      <c r="W130" s="5">
        <f>L130*7.33/(L$3)</f>
        <v/>
      </c>
    </row>
    <row r="131">
      <c r="C131" s="6" t="inlineStr">
        <is>
          <t>LOCAL OIL PRODUCTION</t>
        </is>
      </c>
      <c r="D131" t="inlineStr">
        <is>
          <t>equity_owner</t>
        </is>
      </c>
      <c r="E131" t="inlineStr">
        <is>
          <t>PetroChina</t>
        </is>
      </c>
      <c r="F131" t="inlineStr">
        <is>
          <t>kt</t>
        </is>
      </c>
      <c r="G131" s="4" t="n">
        <v>330.5</v>
      </c>
      <c r="H131" s="4" t="n">
        <v>330.5</v>
      </c>
      <c r="I131" s="4" t="n">
        <v>359</v>
      </c>
      <c r="J131" s="4" t="n">
        <v>351</v>
      </c>
      <c r="K131" s="4" t="n">
        <v>346</v>
      </c>
      <c r="Q131" t="inlineStr">
        <is>
          <t>kbd</t>
        </is>
      </c>
      <c r="R131" s="5">
        <f>G131*7.33/(G$3)</f>
        <v/>
      </c>
      <c r="S131" s="5">
        <f>H131*7.33/(H$3)</f>
        <v/>
      </c>
      <c r="T131" s="5">
        <f>I131*7.33/(I$3)</f>
        <v/>
      </c>
      <c r="U131" s="5">
        <f>J131*7.33/(J$3)</f>
        <v/>
      </c>
      <c r="V131" s="5">
        <f>K131*7.33/(K$3)</f>
        <v/>
      </c>
      <c r="W131" s="5">
        <f>L131*7.33/(L$3)</f>
        <v/>
      </c>
    </row>
    <row r="132">
      <c r="C132" s="6" t="inlineStr">
        <is>
          <t>LOCAL OIL PRODUCTION</t>
        </is>
      </c>
      <c r="D132" t="inlineStr">
        <is>
          <t>field_name</t>
        </is>
      </c>
      <c r="E132" t="inlineStr">
        <is>
          <t>Jilin Oilfield</t>
        </is>
      </c>
      <c r="F132" t="inlineStr">
        <is>
          <t>kt</t>
        </is>
      </c>
      <c r="G132" s="4" t="n">
        <v>330.5</v>
      </c>
      <c r="H132" s="4" t="n">
        <v>330.5</v>
      </c>
      <c r="I132" s="4" t="n">
        <v>359</v>
      </c>
      <c r="J132" s="4" t="n">
        <v>351</v>
      </c>
      <c r="K132" s="4" t="n">
        <v>346</v>
      </c>
      <c r="Q132" t="inlineStr">
        <is>
          <t>kbd</t>
        </is>
      </c>
      <c r="R132" s="5">
        <f>G132*7.33/(G$3)</f>
        <v/>
      </c>
      <c r="S132" s="5">
        <f>H132*7.33/(H$3)</f>
        <v/>
      </c>
      <c r="T132" s="5">
        <f>I132*7.33/(I$3)</f>
        <v/>
      </c>
      <c r="U132" s="5">
        <f>J132*7.33/(J$3)</f>
        <v/>
      </c>
      <c r="V132" s="5">
        <f>K132*7.33/(K$3)</f>
        <v/>
      </c>
      <c r="W132" s="5">
        <f>L132*7.33/(L$3)</f>
        <v/>
      </c>
    </row>
    <row r="133">
      <c r="C133" s="6" t="inlineStr">
        <is>
          <t>LOCAL OIL PRODUCTION</t>
        </is>
      </c>
      <c r="D133" t="inlineStr">
        <is>
          <t>province</t>
        </is>
      </c>
      <c r="E133" t="inlineStr">
        <is>
          <t>Liaoning</t>
        </is>
      </c>
      <c r="F133" t="inlineStr">
        <is>
          <t>kt</t>
        </is>
      </c>
      <c r="G133" s="4" t="n">
        <v>773</v>
      </c>
      <c r="H133" s="4" t="n">
        <v>773</v>
      </c>
      <c r="I133" s="4" t="n">
        <v>789</v>
      </c>
      <c r="J133" s="4" t="n">
        <v>747</v>
      </c>
      <c r="K133" s="4" t="n">
        <v>816</v>
      </c>
      <c r="Q133" t="inlineStr">
        <is>
          <t>kbd</t>
        </is>
      </c>
      <c r="R133" s="5">
        <f>G133*7.33/(G$3)</f>
        <v/>
      </c>
      <c r="S133" s="5">
        <f>H133*7.33/(H$3)</f>
        <v/>
      </c>
      <c r="T133" s="5">
        <f>I133*7.33/(I$3)</f>
        <v/>
      </c>
      <c r="U133" s="5">
        <f>J133*7.33/(J$3)</f>
        <v/>
      </c>
      <c r="V133" s="5">
        <f>K133*7.33/(K$3)</f>
        <v/>
      </c>
      <c r="W133" s="5">
        <f>L133*7.33/(L$3)</f>
        <v/>
      </c>
    </row>
    <row r="134">
      <c r="C134" s="6" t="inlineStr">
        <is>
          <t>LOCAL OIL PRODUCTION</t>
        </is>
      </c>
      <c r="D134" t="inlineStr">
        <is>
          <t>equity_owner</t>
        </is>
      </c>
      <c r="E134" t="inlineStr">
        <is>
          <t>PetroChina</t>
        </is>
      </c>
      <c r="F134" t="inlineStr">
        <is>
          <t>kt</t>
        </is>
      </c>
      <c r="G134" s="4" t="n">
        <v>773</v>
      </c>
      <c r="H134" s="4" t="n">
        <v>773</v>
      </c>
      <c r="I134" s="4" t="n">
        <v>789</v>
      </c>
      <c r="J134" s="4" t="n">
        <v>747</v>
      </c>
      <c r="K134" s="4" t="n">
        <v>816</v>
      </c>
      <c r="Q134" t="inlineStr">
        <is>
          <t>kbd</t>
        </is>
      </c>
      <c r="R134" s="5">
        <f>G134*7.33/(G$3)</f>
        <v/>
      </c>
      <c r="S134" s="5">
        <f>H134*7.33/(H$3)</f>
        <v/>
      </c>
      <c r="T134" s="5">
        <f>I134*7.33/(I$3)</f>
        <v/>
      </c>
      <c r="U134" s="5">
        <f>J134*7.33/(J$3)</f>
        <v/>
      </c>
      <c r="V134" s="5">
        <f>K134*7.33/(K$3)</f>
        <v/>
      </c>
      <c r="W134" s="5">
        <f>L134*7.33/(L$3)</f>
        <v/>
      </c>
    </row>
    <row r="135">
      <c r="C135" s="6" t="inlineStr">
        <is>
          <t>LOCAL OIL PRODUCTION</t>
        </is>
      </c>
      <c r="D135" t="inlineStr">
        <is>
          <t>field_name</t>
        </is>
      </c>
      <c r="E135" t="inlineStr">
        <is>
          <t>Liaohe Oilfield</t>
        </is>
      </c>
      <c r="F135" t="inlineStr">
        <is>
          <t>kt</t>
        </is>
      </c>
      <c r="G135" s="4" t="n">
        <v>773</v>
      </c>
      <c r="H135" s="4" t="n">
        <v>773</v>
      </c>
      <c r="I135" s="4" t="n">
        <v>789</v>
      </c>
      <c r="J135" s="4" t="n">
        <v>747</v>
      </c>
      <c r="K135" s="4" t="n">
        <v>816</v>
      </c>
      <c r="Q135" t="inlineStr">
        <is>
          <t>kbd</t>
        </is>
      </c>
      <c r="R135" s="5">
        <f>G135*7.33/(G$3)</f>
        <v/>
      </c>
      <c r="S135" s="5">
        <f>H135*7.33/(H$3)</f>
        <v/>
      </c>
      <c r="T135" s="5">
        <f>I135*7.33/(I$3)</f>
        <v/>
      </c>
      <c r="U135" s="5">
        <f>J135*7.33/(J$3)</f>
        <v/>
      </c>
      <c r="V135" s="5">
        <f>K135*7.33/(K$3)</f>
        <v/>
      </c>
      <c r="W135" s="5">
        <f>L135*7.33/(L$3)</f>
        <v/>
      </c>
    </row>
    <row r="136">
      <c r="C136" s="6" t="inlineStr">
        <is>
          <t>LOCAL OIL PRODUCTION</t>
        </is>
      </c>
      <c r="D136" t="inlineStr">
        <is>
          <t>province</t>
        </is>
      </c>
      <c r="E136" t="inlineStr">
        <is>
          <t>Ningxia</t>
        </is>
      </c>
      <c r="F136" t="inlineStr">
        <is>
          <t>kt</t>
        </is>
      </c>
      <c r="G136" s="4" t="n">
        <v>90</v>
      </c>
      <c r="H136" s="4" t="n">
        <v>90</v>
      </c>
      <c r="I136" s="4" t="n">
        <v>96</v>
      </c>
      <c r="J136" s="4" t="n">
        <v>100</v>
      </c>
      <c r="K136" s="4" t="n">
        <v>118</v>
      </c>
      <c r="Q136" t="inlineStr">
        <is>
          <t>kbd</t>
        </is>
      </c>
      <c r="R136" s="5">
        <f>G136*7.33/(G$3)</f>
        <v/>
      </c>
      <c r="S136" s="5">
        <f>H136*7.33/(H$3)</f>
        <v/>
      </c>
      <c r="T136" s="5">
        <f>I136*7.33/(I$3)</f>
        <v/>
      </c>
      <c r="U136" s="5">
        <f>J136*7.33/(J$3)</f>
        <v/>
      </c>
      <c r="V136" s="5">
        <f>K136*7.33/(K$3)</f>
        <v/>
      </c>
      <c r="W136" s="5">
        <f>L136*7.33/(L$3)</f>
        <v/>
      </c>
    </row>
    <row r="137">
      <c r="C137" s="6" t="inlineStr">
        <is>
          <t>LOCAL OIL PRODUCTION</t>
        </is>
      </c>
      <c r="D137" t="inlineStr">
        <is>
          <t>equity_owner</t>
        </is>
      </c>
      <c r="E137" t="inlineStr">
        <is>
          <t>PetroChina</t>
        </is>
      </c>
      <c r="F137" t="inlineStr">
        <is>
          <t>kt</t>
        </is>
      </c>
      <c r="G137" s="4" t="n">
        <v>90</v>
      </c>
      <c r="H137" s="4" t="n">
        <v>90</v>
      </c>
      <c r="I137" s="4" t="n">
        <v>96</v>
      </c>
      <c r="J137" s="4" t="n">
        <v>100</v>
      </c>
      <c r="K137" s="4" t="n">
        <v>118</v>
      </c>
      <c r="Q137" t="inlineStr">
        <is>
          <t>kbd</t>
        </is>
      </c>
      <c r="R137" s="5">
        <f>G137*7.33/(G$3)</f>
        <v/>
      </c>
      <c r="S137" s="5">
        <f>H137*7.33/(H$3)</f>
        <v/>
      </c>
      <c r="T137" s="5">
        <f>I137*7.33/(I$3)</f>
        <v/>
      </c>
      <c r="U137" s="5">
        <f>J137*7.33/(J$3)</f>
        <v/>
      </c>
      <c r="V137" s="5">
        <f>K137*7.33/(K$3)</f>
        <v/>
      </c>
      <c r="W137" s="5">
        <f>L137*7.33/(L$3)</f>
        <v/>
      </c>
    </row>
    <row r="138">
      <c r="C138" s="6" t="inlineStr">
        <is>
          <t>LOCAL OIL PRODUCTION</t>
        </is>
      </c>
      <c r="D138" t="inlineStr">
        <is>
          <t>field_name</t>
        </is>
      </c>
      <c r="E138" t="inlineStr">
        <is>
          <t>Changqing Oilfield</t>
        </is>
      </c>
      <c r="F138" t="inlineStr">
        <is>
          <t>kt</t>
        </is>
      </c>
      <c r="G138" s="4" t="n">
        <v>90</v>
      </c>
      <c r="H138" s="4" t="n">
        <v>90</v>
      </c>
      <c r="I138" s="4" t="n">
        <v>96</v>
      </c>
      <c r="J138" s="4" t="n">
        <v>100</v>
      </c>
      <c r="K138" s="4" t="n">
        <v>118</v>
      </c>
      <c r="Q138" t="inlineStr">
        <is>
          <t>kbd</t>
        </is>
      </c>
      <c r="R138" s="5">
        <f>G138*7.33/(G$3)</f>
        <v/>
      </c>
      <c r="S138" s="5">
        <f>H138*7.33/(H$3)</f>
        <v/>
      </c>
      <c r="T138" s="5">
        <f>I138*7.33/(I$3)</f>
        <v/>
      </c>
      <c r="U138" s="5">
        <f>J138*7.33/(J$3)</f>
        <v/>
      </c>
      <c r="V138" s="5">
        <f>K138*7.33/(K$3)</f>
        <v/>
      </c>
      <c r="W138" s="5">
        <f>L138*7.33/(L$3)</f>
        <v/>
      </c>
    </row>
    <row r="139">
      <c r="C139" s="6" t="inlineStr">
        <is>
          <t>LOCAL OIL PRODUCTION</t>
        </is>
      </c>
      <c r="D139" t="inlineStr">
        <is>
          <t>province</t>
        </is>
      </c>
      <c r="E139" t="inlineStr">
        <is>
          <t>Qinghai</t>
        </is>
      </c>
      <c r="F139" t="inlineStr">
        <is>
          <t>kt</t>
        </is>
      </c>
      <c r="G139" s="4" t="n">
        <v>203.5</v>
      </c>
      <c r="H139" s="4" t="n">
        <v>203.5</v>
      </c>
      <c r="I139" s="4" t="n">
        <v>214</v>
      </c>
      <c r="J139" s="4" t="n">
        <v>210</v>
      </c>
      <c r="K139" s="4" t="n">
        <v>217</v>
      </c>
      <c r="Q139" t="inlineStr">
        <is>
          <t>kbd</t>
        </is>
      </c>
      <c r="R139" s="5">
        <f>G139*7.33/(G$3)</f>
        <v/>
      </c>
      <c r="S139" s="5">
        <f>H139*7.33/(H$3)</f>
        <v/>
      </c>
      <c r="T139" s="5">
        <f>I139*7.33/(I$3)</f>
        <v/>
      </c>
      <c r="U139" s="5">
        <f>J139*7.33/(J$3)</f>
        <v/>
      </c>
      <c r="V139" s="5">
        <f>K139*7.33/(K$3)</f>
        <v/>
      </c>
      <c r="W139" s="5">
        <f>L139*7.33/(L$3)</f>
        <v/>
      </c>
    </row>
    <row r="140">
      <c r="C140" s="6" t="inlineStr">
        <is>
          <t>LOCAL OIL PRODUCTION</t>
        </is>
      </c>
      <c r="D140" t="inlineStr">
        <is>
          <t>equity_owner</t>
        </is>
      </c>
      <c r="E140" t="inlineStr">
        <is>
          <t>PetroChina</t>
        </is>
      </c>
      <c r="F140" t="inlineStr">
        <is>
          <t>kt</t>
        </is>
      </c>
      <c r="G140" s="4" t="n">
        <v>203.5</v>
      </c>
      <c r="H140" s="4" t="n">
        <v>203.5</v>
      </c>
      <c r="I140" s="4" t="n">
        <v>214</v>
      </c>
      <c r="J140" s="4" t="n">
        <v>210</v>
      </c>
      <c r="K140" s="4" t="n">
        <v>217</v>
      </c>
      <c r="Q140" t="inlineStr">
        <is>
          <t>kbd</t>
        </is>
      </c>
      <c r="R140" s="5">
        <f>G140*7.33/(G$3)</f>
        <v/>
      </c>
      <c r="S140" s="5">
        <f>H140*7.33/(H$3)</f>
        <v/>
      </c>
      <c r="T140" s="5">
        <f>I140*7.33/(I$3)</f>
        <v/>
      </c>
      <c r="U140" s="5">
        <f>J140*7.33/(J$3)</f>
        <v/>
      </c>
      <c r="V140" s="5">
        <f>K140*7.33/(K$3)</f>
        <v/>
      </c>
      <c r="W140" s="5">
        <f>L140*7.33/(L$3)</f>
        <v/>
      </c>
    </row>
    <row r="141">
      <c r="C141" s="6" t="inlineStr">
        <is>
          <t>LOCAL OIL PRODUCTION</t>
        </is>
      </c>
      <c r="D141" t="inlineStr">
        <is>
          <t>field_name</t>
        </is>
      </c>
      <c r="E141" t="inlineStr">
        <is>
          <t>Qinghai Oilfield</t>
        </is>
      </c>
      <c r="F141" t="inlineStr">
        <is>
          <t>kt</t>
        </is>
      </c>
      <c r="G141" s="4" t="n">
        <v>203.5</v>
      </c>
      <c r="H141" s="4" t="n">
        <v>203.5</v>
      </c>
      <c r="I141" s="4" t="n">
        <v>214</v>
      </c>
      <c r="J141" s="4" t="n">
        <v>210</v>
      </c>
      <c r="K141" s="4" t="n">
        <v>217</v>
      </c>
      <c r="Q141" t="inlineStr">
        <is>
          <t>kbd</t>
        </is>
      </c>
      <c r="R141" s="5">
        <f>G141*7.33/(G$3)</f>
        <v/>
      </c>
      <c r="S141" s="5">
        <f>H141*7.33/(H$3)</f>
        <v/>
      </c>
      <c r="T141" s="5">
        <f>I141*7.33/(I$3)</f>
        <v/>
      </c>
      <c r="U141" s="5">
        <f>J141*7.33/(J$3)</f>
        <v/>
      </c>
      <c r="V141" s="5">
        <f>K141*7.33/(K$3)</f>
        <v/>
      </c>
      <c r="W141" s="5">
        <f>L141*7.33/(L$3)</f>
        <v/>
      </c>
    </row>
    <row r="142">
      <c r="C142" s="6" t="inlineStr">
        <is>
          <t>LOCAL OIL PRODUCTION</t>
        </is>
      </c>
      <c r="D142" t="inlineStr">
        <is>
          <t>province</t>
        </is>
      </c>
      <c r="E142" t="inlineStr">
        <is>
          <t>Shaanxi</t>
        </is>
      </c>
      <c r="F142" t="inlineStr">
        <is>
          <t>kt</t>
        </is>
      </c>
      <c r="G142" s="4" t="n">
        <v>1962</v>
      </c>
      <c r="H142" s="4" t="n">
        <v>1962</v>
      </c>
      <c r="I142" s="4" t="n">
        <v>2192</v>
      </c>
      <c r="J142" s="4" t="n">
        <v>1992</v>
      </c>
      <c r="K142" s="4" t="n">
        <v>2038</v>
      </c>
      <c r="Q142" t="inlineStr">
        <is>
          <t>kbd</t>
        </is>
      </c>
      <c r="R142" s="5">
        <f>G142*7.33/(G$3)</f>
        <v/>
      </c>
      <c r="S142" s="5">
        <f>H142*7.33/(H$3)</f>
        <v/>
      </c>
      <c r="T142" s="5">
        <f>I142*7.33/(I$3)</f>
        <v/>
      </c>
      <c r="U142" s="5">
        <f>J142*7.33/(J$3)</f>
        <v/>
      </c>
      <c r="V142" s="5">
        <f>K142*7.33/(K$3)</f>
        <v/>
      </c>
      <c r="W142" s="5">
        <f>L142*7.33/(L$3)</f>
        <v/>
      </c>
    </row>
    <row r="143">
      <c r="C143" s="6" t="inlineStr">
        <is>
          <t>LOCAL OIL PRODUCTION</t>
        </is>
      </c>
      <c r="D143" t="inlineStr">
        <is>
          <t>equity_owner</t>
        </is>
      </c>
      <c r="E143" t="inlineStr">
        <is>
          <t>PetroChina</t>
        </is>
      </c>
      <c r="F143" t="inlineStr">
        <is>
          <t>kt</t>
        </is>
      </c>
      <c r="G143" s="4" t="n">
        <v>1010</v>
      </c>
      <c r="H143" s="4" t="n">
        <v>1010</v>
      </c>
      <c r="I143" s="4" t="n">
        <v>1129</v>
      </c>
      <c r="J143" s="4" t="n">
        <v>1026</v>
      </c>
      <c r="K143" s="4" t="n">
        <v>1050</v>
      </c>
      <c r="Q143" t="inlineStr">
        <is>
          <t>kbd</t>
        </is>
      </c>
      <c r="R143" s="5">
        <f>G143*7.33/(G$3)</f>
        <v/>
      </c>
      <c r="S143" s="5">
        <f>H143*7.33/(H$3)</f>
        <v/>
      </c>
      <c r="T143" s="5">
        <f>I143*7.33/(I$3)</f>
        <v/>
      </c>
      <c r="U143" s="5">
        <f>J143*7.33/(J$3)</f>
        <v/>
      </c>
      <c r="V143" s="5">
        <f>K143*7.33/(K$3)</f>
        <v/>
      </c>
      <c r="W143" s="5">
        <f>L143*7.33/(L$3)</f>
        <v/>
      </c>
    </row>
    <row r="144">
      <c r="C144" s="6" t="inlineStr">
        <is>
          <t>LOCAL OIL PRODUCTION</t>
        </is>
      </c>
      <c r="D144" t="inlineStr">
        <is>
          <t>field_name</t>
        </is>
      </c>
      <c r="E144" t="inlineStr">
        <is>
          <t>Changqing Oilfield</t>
        </is>
      </c>
      <c r="F144" t="inlineStr">
        <is>
          <t>kt</t>
        </is>
      </c>
      <c r="G144" s="4" t="n">
        <v>1010</v>
      </c>
      <c r="H144" s="4" t="n">
        <v>1010</v>
      </c>
      <c r="I144" s="4" t="n">
        <v>1129</v>
      </c>
      <c r="J144" s="4" t="n">
        <v>1026</v>
      </c>
      <c r="K144" s="4" t="n">
        <v>1050</v>
      </c>
      <c r="Q144" t="inlineStr">
        <is>
          <t>kbd</t>
        </is>
      </c>
      <c r="R144" s="5">
        <f>G144*7.33/(G$3)</f>
        <v/>
      </c>
      <c r="S144" s="5">
        <f>H144*7.33/(H$3)</f>
        <v/>
      </c>
      <c r="T144" s="5">
        <f>I144*7.33/(I$3)</f>
        <v/>
      </c>
      <c r="U144" s="5">
        <f>J144*7.33/(J$3)</f>
        <v/>
      </c>
      <c r="V144" s="5">
        <f>K144*7.33/(K$3)</f>
        <v/>
      </c>
      <c r="W144" s="5">
        <f>L144*7.33/(L$3)</f>
        <v/>
      </c>
    </row>
    <row r="145">
      <c r="C145" s="6" t="inlineStr">
        <is>
          <t>LOCAL OIL PRODUCTION</t>
        </is>
      </c>
      <c r="D145" t="inlineStr">
        <is>
          <t>equity_owner</t>
        </is>
      </c>
      <c r="E145" t="inlineStr">
        <is>
          <t>Yanchang</t>
        </is>
      </c>
      <c r="F145" t="inlineStr">
        <is>
          <t>kt</t>
        </is>
      </c>
      <c r="G145" s="4" t="n">
        <v>951.9999999999999</v>
      </c>
      <c r="H145" s="4" t="n">
        <v>951.9999999999999</v>
      </c>
      <c r="I145" s="4" t="n">
        <v>1063</v>
      </c>
      <c r="J145" s="4" t="n">
        <v>966</v>
      </c>
      <c r="K145" s="4" t="n">
        <v>988.0000000000001</v>
      </c>
      <c r="Q145" t="inlineStr">
        <is>
          <t>kbd</t>
        </is>
      </c>
      <c r="R145" s="5">
        <f>G145*7.33/(G$3)</f>
        <v/>
      </c>
      <c r="S145" s="5">
        <f>H145*7.33/(H$3)</f>
        <v/>
      </c>
      <c r="T145" s="5">
        <f>I145*7.33/(I$3)</f>
        <v/>
      </c>
      <c r="U145" s="5">
        <f>J145*7.33/(J$3)</f>
        <v/>
      </c>
      <c r="V145" s="5">
        <f>K145*7.33/(K$3)</f>
        <v/>
      </c>
      <c r="W145" s="5">
        <f>L145*7.33/(L$3)</f>
        <v/>
      </c>
    </row>
    <row r="146">
      <c r="C146" s="6" t="inlineStr">
        <is>
          <t>LOCAL OIL PRODUCTION</t>
        </is>
      </c>
      <c r="D146" t="inlineStr">
        <is>
          <t>field_name</t>
        </is>
      </c>
      <c r="E146" t="inlineStr">
        <is>
          <t>Yanchang Oilfield</t>
        </is>
      </c>
      <c r="F146" t="inlineStr">
        <is>
          <t>kt</t>
        </is>
      </c>
      <c r="G146" s="4" t="n">
        <v>951.9999999999999</v>
      </c>
      <c r="H146" s="4" t="n">
        <v>951.9999999999999</v>
      </c>
      <c r="I146" s="4" t="n">
        <v>1063</v>
      </c>
      <c r="J146" s="4" t="n">
        <v>966</v>
      </c>
      <c r="K146" s="4" t="n">
        <v>988.0000000000001</v>
      </c>
      <c r="Q146" t="inlineStr">
        <is>
          <t>kbd</t>
        </is>
      </c>
      <c r="R146" s="5">
        <f>G146*7.33/(G$3)</f>
        <v/>
      </c>
      <c r="S146" s="5">
        <f>H146*7.33/(H$3)</f>
        <v/>
      </c>
      <c r="T146" s="5">
        <f>I146*7.33/(I$3)</f>
        <v/>
      </c>
      <c r="U146" s="5">
        <f>J146*7.33/(J$3)</f>
        <v/>
      </c>
      <c r="V146" s="5">
        <f>K146*7.33/(K$3)</f>
        <v/>
      </c>
      <c r="W146" s="5">
        <f>L146*7.33/(L$3)</f>
        <v/>
      </c>
    </row>
    <row r="147">
      <c r="C147" s="6" t="inlineStr">
        <is>
          <t>LOCAL OIL PRODUCTION</t>
        </is>
      </c>
      <c r="D147" t="inlineStr">
        <is>
          <t>province</t>
        </is>
      </c>
      <c r="E147" t="inlineStr">
        <is>
          <t>Shandong</t>
        </is>
      </c>
      <c r="F147" t="inlineStr">
        <is>
          <t>kt</t>
        </is>
      </c>
      <c r="G147" s="4" t="n">
        <v>1805</v>
      </c>
      <c r="H147" s="4" t="n">
        <v>1805</v>
      </c>
      <c r="I147" s="4" t="n">
        <v>1906</v>
      </c>
      <c r="J147" s="4" t="n">
        <v>1846</v>
      </c>
      <c r="K147" s="4" t="n">
        <v>1905</v>
      </c>
      <c r="Q147" t="inlineStr">
        <is>
          <t>kbd</t>
        </is>
      </c>
      <c r="R147" s="5">
        <f>G147*7.33/(G$3)</f>
        <v/>
      </c>
      <c r="S147" s="5">
        <f>H147*7.33/(H$3)</f>
        <v/>
      </c>
      <c r="T147" s="5">
        <f>I147*7.33/(I$3)</f>
        <v/>
      </c>
      <c r="U147" s="5">
        <f>J147*7.33/(J$3)</f>
        <v/>
      </c>
      <c r="V147" s="5">
        <f>K147*7.33/(K$3)</f>
        <v/>
      </c>
      <c r="W147" s="5">
        <f>L147*7.33/(L$3)</f>
        <v/>
      </c>
    </row>
    <row r="148">
      <c r="C148" s="6" t="inlineStr">
        <is>
          <t>LOCAL OIL PRODUCTION</t>
        </is>
      </c>
      <c r="D148" t="inlineStr">
        <is>
          <t>equity_owner</t>
        </is>
      </c>
      <c r="E148" t="inlineStr">
        <is>
          <t>Sinopec</t>
        </is>
      </c>
      <c r="F148" t="inlineStr">
        <is>
          <t>kt</t>
        </is>
      </c>
      <c r="G148" s="4" t="n">
        <v>1805</v>
      </c>
      <c r="H148" s="4" t="n">
        <v>1805</v>
      </c>
      <c r="I148" s="4" t="n">
        <v>1906</v>
      </c>
      <c r="J148" s="4" t="n">
        <v>1846</v>
      </c>
      <c r="K148" s="4" t="n">
        <v>1905</v>
      </c>
      <c r="Q148" t="inlineStr">
        <is>
          <t>kbd</t>
        </is>
      </c>
      <c r="R148" s="5">
        <f>G148*7.33/(G$3)</f>
        <v/>
      </c>
      <c r="S148" s="5">
        <f>H148*7.33/(H$3)</f>
        <v/>
      </c>
      <c r="T148" s="5">
        <f>I148*7.33/(I$3)</f>
        <v/>
      </c>
      <c r="U148" s="5">
        <f>J148*7.33/(J$3)</f>
        <v/>
      </c>
      <c r="V148" s="5">
        <f>K148*7.33/(K$3)</f>
        <v/>
      </c>
      <c r="W148" s="5">
        <f>L148*7.33/(L$3)</f>
        <v/>
      </c>
    </row>
    <row r="149">
      <c r="C149" s="6" t="inlineStr">
        <is>
          <t>LOCAL OIL PRODUCTION</t>
        </is>
      </c>
      <c r="D149" t="inlineStr">
        <is>
          <t>field_name</t>
        </is>
      </c>
      <c r="E149" t="inlineStr">
        <is>
          <t>Shengli Oilfield</t>
        </is>
      </c>
      <c r="F149" t="inlineStr">
        <is>
          <t>kt</t>
        </is>
      </c>
      <c r="G149" s="4" t="n">
        <v>1805</v>
      </c>
      <c r="H149" s="4" t="n">
        <v>1805</v>
      </c>
      <c r="I149" s="4" t="n">
        <v>1906</v>
      </c>
      <c r="J149" s="4" t="n">
        <v>1846</v>
      </c>
      <c r="K149" s="4" t="n">
        <v>1905</v>
      </c>
      <c r="Q149" t="inlineStr">
        <is>
          <t>kbd</t>
        </is>
      </c>
      <c r="R149" s="5">
        <f>G149*7.33/(G$3)</f>
        <v/>
      </c>
      <c r="S149" s="5">
        <f>H149*7.33/(H$3)</f>
        <v/>
      </c>
      <c r="T149" s="5">
        <f>I149*7.33/(I$3)</f>
        <v/>
      </c>
      <c r="U149" s="5">
        <f>J149*7.33/(J$3)</f>
        <v/>
      </c>
      <c r="V149" s="5">
        <f>K149*7.33/(K$3)</f>
        <v/>
      </c>
      <c r="W149" s="5">
        <f>L149*7.33/(L$3)</f>
        <v/>
      </c>
    </row>
    <row r="150">
      <c r="C150" s="6" t="inlineStr">
        <is>
          <t>LOCAL OIL PRODUCTION</t>
        </is>
      </c>
      <c r="D150" t="inlineStr">
        <is>
          <t>province</t>
        </is>
      </c>
      <c r="E150" t="inlineStr">
        <is>
          <t>Shanghai</t>
        </is>
      </c>
      <c r="F150" t="inlineStr">
        <is>
          <t>kt</t>
        </is>
      </c>
      <c r="G150" s="4" t="n">
        <v>74</v>
      </c>
      <c r="H150" s="4" t="n">
        <v>74</v>
      </c>
      <c r="I150" s="4" t="n">
        <v>78</v>
      </c>
      <c r="J150" s="4" t="n">
        <v>73</v>
      </c>
      <c r="K150" s="4" t="n">
        <v>71</v>
      </c>
      <c r="Q150" t="inlineStr">
        <is>
          <t>kbd</t>
        </is>
      </c>
      <c r="R150" s="5">
        <f>G150*7.33/(G$3)</f>
        <v/>
      </c>
      <c r="S150" s="5">
        <f>H150*7.33/(H$3)</f>
        <v/>
      </c>
      <c r="T150" s="5">
        <f>I150*7.33/(I$3)</f>
        <v/>
      </c>
      <c r="U150" s="5">
        <f>J150*7.33/(J$3)</f>
        <v/>
      </c>
      <c r="V150" s="5">
        <f>K150*7.33/(K$3)</f>
        <v/>
      </c>
      <c r="W150" s="5">
        <f>L150*7.33/(L$3)</f>
        <v/>
      </c>
    </row>
    <row r="151">
      <c r="C151" s="6" t="inlineStr">
        <is>
          <t>LOCAL OIL PRODUCTION</t>
        </is>
      </c>
      <c r="D151" t="inlineStr">
        <is>
          <t>equity_owner</t>
        </is>
      </c>
      <c r="E151" t="inlineStr">
        <is>
          <t>Sinopec</t>
        </is>
      </c>
      <c r="F151" t="inlineStr">
        <is>
          <t>kt</t>
        </is>
      </c>
      <c r="G151" s="4" t="n">
        <v>74</v>
      </c>
      <c r="H151" s="4" t="n">
        <v>74</v>
      </c>
      <c r="I151" s="4" t="n">
        <v>78</v>
      </c>
      <c r="J151" s="4" t="n">
        <v>73</v>
      </c>
      <c r="K151" s="4" t="n">
        <v>71</v>
      </c>
      <c r="Q151" t="inlineStr">
        <is>
          <t>kbd</t>
        </is>
      </c>
      <c r="R151" s="5">
        <f>G151*7.33/(G$3)</f>
        <v/>
      </c>
      <c r="S151" s="5">
        <f>H151*7.33/(H$3)</f>
        <v/>
      </c>
      <c r="T151" s="5">
        <f>I151*7.33/(I$3)</f>
        <v/>
      </c>
      <c r="U151" s="5">
        <f>J151*7.33/(J$3)</f>
        <v/>
      </c>
      <c r="V151" s="5">
        <f>K151*7.33/(K$3)</f>
        <v/>
      </c>
      <c r="W151" s="5">
        <f>L151*7.33/(L$3)</f>
        <v/>
      </c>
    </row>
    <row r="152">
      <c r="C152" s="6" t="inlineStr">
        <is>
          <t>LOCAL OIL PRODUCTION</t>
        </is>
      </c>
      <c r="D152" t="inlineStr">
        <is>
          <t>field_name</t>
        </is>
      </c>
      <c r="E152" t="inlineStr">
        <is>
          <t>Shanghai Oilfield</t>
        </is>
      </c>
      <c r="F152" t="inlineStr">
        <is>
          <t>kt</t>
        </is>
      </c>
      <c r="G152" s="4" t="n">
        <v>74</v>
      </c>
      <c r="H152" s="4" t="n">
        <v>74</v>
      </c>
      <c r="I152" s="4" t="n">
        <v>78</v>
      </c>
      <c r="J152" s="4" t="n">
        <v>73</v>
      </c>
      <c r="K152" s="4" t="n">
        <v>71</v>
      </c>
      <c r="Q152" t="inlineStr">
        <is>
          <t>kbd</t>
        </is>
      </c>
      <c r="R152" s="5">
        <f>G152*7.33/(G$3)</f>
        <v/>
      </c>
      <c r="S152" s="5">
        <f>H152*7.33/(H$3)</f>
        <v/>
      </c>
      <c r="T152" s="5">
        <f>I152*7.33/(I$3)</f>
        <v/>
      </c>
      <c r="U152" s="5">
        <f>J152*7.33/(J$3)</f>
        <v/>
      </c>
      <c r="V152" s="5">
        <f>K152*7.33/(K$3)</f>
        <v/>
      </c>
      <c r="W152" s="5">
        <f>L152*7.33/(L$3)</f>
        <v/>
      </c>
    </row>
    <row r="153">
      <c r="C153" s="6" t="inlineStr">
        <is>
          <t>LOCAL OIL PRODUCTION</t>
        </is>
      </c>
      <c r="D153" t="inlineStr">
        <is>
          <t>province</t>
        </is>
      </c>
      <c r="E153" t="inlineStr">
        <is>
          <t>Sichuan</t>
        </is>
      </c>
      <c r="F153" t="inlineStr">
        <is>
          <t>kt</t>
        </is>
      </c>
      <c r="G153" s="4" t="n">
        <v>28.5</v>
      </c>
      <c r="H153" s="4" t="n">
        <v>28.5</v>
      </c>
      <c r="I153" s="4" t="n">
        <v>50</v>
      </c>
      <c r="J153" s="4" t="n">
        <v>48</v>
      </c>
      <c r="K153" s="4" t="n">
        <v>47</v>
      </c>
      <c r="Q153" t="inlineStr">
        <is>
          <t>kbd</t>
        </is>
      </c>
      <c r="R153" s="5">
        <f>G153*7.33/(G$3)</f>
        <v/>
      </c>
      <c r="S153" s="5">
        <f>H153*7.33/(H$3)</f>
        <v/>
      </c>
      <c r="T153" s="5">
        <f>I153*7.33/(I$3)</f>
        <v/>
      </c>
      <c r="U153" s="5">
        <f>J153*7.33/(J$3)</f>
        <v/>
      </c>
      <c r="V153" s="5">
        <f>K153*7.33/(K$3)</f>
        <v/>
      </c>
      <c r="W153" s="5">
        <f>L153*7.33/(L$3)</f>
        <v/>
      </c>
    </row>
    <row r="154">
      <c r="C154" s="6" t="inlineStr">
        <is>
          <t>LOCAL OIL PRODUCTION</t>
        </is>
      </c>
      <c r="D154" t="inlineStr">
        <is>
          <t>equity_owner</t>
        </is>
      </c>
      <c r="E154" t="inlineStr">
        <is>
          <t>PetroChina</t>
        </is>
      </c>
      <c r="F154" t="inlineStr">
        <is>
          <t>kt</t>
        </is>
      </c>
      <c r="G154" s="4" t="n">
        <v>28.5</v>
      </c>
      <c r="H154" s="4" t="n">
        <v>28.5</v>
      </c>
      <c r="I154" s="4" t="n">
        <v>50</v>
      </c>
      <c r="J154" s="4" t="n">
        <v>48</v>
      </c>
      <c r="K154" s="4" t="n">
        <v>47</v>
      </c>
      <c r="Q154" t="inlineStr">
        <is>
          <t>kbd</t>
        </is>
      </c>
      <c r="R154" s="5">
        <f>G154*7.33/(G$3)</f>
        <v/>
      </c>
      <c r="S154" s="5">
        <f>H154*7.33/(H$3)</f>
        <v/>
      </c>
      <c r="T154" s="5">
        <f>I154*7.33/(I$3)</f>
        <v/>
      </c>
      <c r="U154" s="5">
        <f>J154*7.33/(J$3)</f>
        <v/>
      </c>
      <c r="V154" s="5">
        <f>K154*7.33/(K$3)</f>
        <v/>
      </c>
      <c r="W154" s="5">
        <f>L154*7.33/(L$3)</f>
        <v/>
      </c>
    </row>
    <row r="155">
      <c r="C155" s="6" t="inlineStr">
        <is>
          <t>LOCAL OIL PRODUCTION</t>
        </is>
      </c>
      <c r="D155" t="inlineStr">
        <is>
          <t>field_name</t>
        </is>
      </c>
      <c r="E155" t="inlineStr">
        <is>
          <t>Xinan Oilfield</t>
        </is>
      </c>
      <c r="F155" t="inlineStr">
        <is>
          <t>kt</t>
        </is>
      </c>
      <c r="G155" s="4" t="n">
        <v>28.5</v>
      </c>
      <c r="H155" s="4" t="n">
        <v>28.5</v>
      </c>
      <c r="I155" s="4" t="n">
        <v>50</v>
      </c>
      <c r="J155" s="4" t="n">
        <v>48</v>
      </c>
      <c r="K155" s="4" t="n">
        <v>47</v>
      </c>
      <c r="Q155" t="inlineStr">
        <is>
          <t>kbd</t>
        </is>
      </c>
      <c r="R155" s="5">
        <f>G155*7.33/(G$3)</f>
        <v/>
      </c>
      <c r="S155" s="5">
        <f>H155*7.33/(H$3)</f>
        <v/>
      </c>
      <c r="T155" s="5">
        <f>I155*7.33/(I$3)</f>
        <v/>
      </c>
      <c r="U155" s="5">
        <f>J155*7.33/(J$3)</f>
        <v/>
      </c>
      <c r="V155" s="5">
        <f>K155*7.33/(K$3)</f>
        <v/>
      </c>
      <c r="W155" s="5">
        <f>L155*7.33/(L$3)</f>
        <v/>
      </c>
    </row>
    <row r="156">
      <c r="C156" s="6" t="inlineStr">
        <is>
          <t>LOCAL OIL PRODUCTION</t>
        </is>
      </c>
      <c r="D156" t="inlineStr">
        <is>
          <t>province</t>
        </is>
      </c>
      <c r="E156" t="inlineStr">
        <is>
          <t>Tianjin</t>
        </is>
      </c>
      <c r="F156" t="inlineStr">
        <is>
          <t>kt</t>
        </is>
      </c>
      <c r="G156" s="4" t="n">
        <v>3382</v>
      </c>
      <c r="H156" s="4" t="n">
        <v>3382</v>
      </c>
      <c r="I156" s="4" t="n">
        <v>3559</v>
      </c>
      <c r="J156" s="4" t="n">
        <v>3434</v>
      </c>
      <c r="K156" s="4" t="n">
        <v>3558</v>
      </c>
      <c r="Q156" t="inlineStr">
        <is>
          <t>kbd</t>
        </is>
      </c>
      <c r="R156" s="5">
        <f>G156*7.33/(G$3)</f>
        <v/>
      </c>
      <c r="S156" s="5">
        <f>H156*7.33/(H$3)</f>
        <v/>
      </c>
      <c r="T156" s="5">
        <f>I156*7.33/(I$3)</f>
        <v/>
      </c>
      <c r="U156" s="5">
        <f>J156*7.33/(J$3)</f>
        <v/>
      </c>
      <c r="V156" s="5">
        <f>K156*7.33/(K$3)</f>
        <v/>
      </c>
      <c r="W156" s="5">
        <f>L156*7.33/(L$3)</f>
        <v/>
      </c>
    </row>
    <row r="157">
      <c r="C157" s="6" t="inlineStr">
        <is>
          <t>LOCAL OIL PRODUCTION</t>
        </is>
      </c>
      <c r="D157" t="inlineStr">
        <is>
          <t>equity_owner</t>
        </is>
      </c>
      <c r="E157" t="inlineStr">
        <is>
          <t>PetroChina</t>
        </is>
      </c>
      <c r="F157" t="inlineStr">
        <is>
          <t>kt</t>
        </is>
      </c>
      <c r="G157" s="4" t="n">
        <v>315</v>
      </c>
      <c r="H157" s="4" t="n">
        <v>315</v>
      </c>
      <c r="I157" s="4" t="n">
        <v>331</v>
      </c>
      <c r="J157" s="4" t="n">
        <v>320</v>
      </c>
      <c r="K157" s="4" t="n">
        <v>331</v>
      </c>
      <c r="Q157" t="inlineStr">
        <is>
          <t>kbd</t>
        </is>
      </c>
      <c r="R157" s="5">
        <f>G157*7.33/(G$3)</f>
        <v/>
      </c>
      <c r="S157" s="5">
        <f>H157*7.33/(H$3)</f>
        <v/>
      </c>
      <c r="T157" s="5">
        <f>I157*7.33/(I$3)</f>
        <v/>
      </c>
      <c r="U157" s="5">
        <f>J157*7.33/(J$3)</f>
        <v/>
      </c>
      <c r="V157" s="5">
        <f>K157*7.33/(K$3)</f>
        <v/>
      </c>
      <c r="W157" s="5">
        <f>L157*7.33/(L$3)</f>
        <v/>
      </c>
    </row>
    <row r="158">
      <c r="C158" s="6" t="inlineStr">
        <is>
          <t>LOCAL OIL PRODUCTION</t>
        </is>
      </c>
      <c r="D158" t="inlineStr">
        <is>
          <t>field_name</t>
        </is>
      </c>
      <c r="E158" t="inlineStr">
        <is>
          <t>Dagang Oilfield</t>
        </is>
      </c>
      <c r="F158" t="inlineStr">
        <is>
          <t>kt</t>
        </is>
      </c>
      <c r="G158" s="4" t="n">
        <v>315</v>
      </c>
      <c r="H158" s="4" t="n">
        <v>315</v>
      </c>
      <c r="I158" s="4" t="n">
        <v>331</v>
      </c>
      <c r="J158" s="4" t="n">
        <v>320</v>
      </c>
      <c r="K158" s="4" t="n">
        <v>331</v>
      </c>
      <c r="Q158" t="inlineStr">
        <is>
          <t>kbd</t>
        </is>
      </c>
      <c r="R158" s="5">
        <f>G158*7.33/(G$3)</f>
        <v/>
      </c>
      <c r="S158" s="5">
        <f>H158*7.33/(H$3)</f>
        <v/>
      </c>
      <c r="T158" s="5">
        <f>I158*7.33/(I$3)</f>
        <v/>
      </c>
      <c r="U158" s="5">
        <f>J158*7.33/(J$3)</f>
        <v/>
      </c>
      <c r="V158" s="5">
        <f>K158*7.33/(K$3)</f>
        <v/>
      </c>
      <c r="W158" s="5">
        <f>L158*7.33/(L$3)</f>
        <v/>
      </c>
    </row>
    <row r="159">
      <c r="C159" s="6" t="inlineStr">
        <is>
          <t>LOCAL OIL PRODUCTION</t>
        </is>
      </c>
      <c r="D159" t="inlineStr">
        <is>
          <t>equity_owner</t>
        </is>
      </c>
      <c r="E159" t="inlineStr">
        <is>
          <t>CNOOC</t>
        </is>
      </c>
      <c r="F159" t="inlineStr">
        <is>
          <t>kt</t>
        </is>
      </c>
      <c r="G159" s="4" t="n">
        <v>3067</v>
      </c>
      <c r="H159" s="4" t="n">
        <v>3067</v>
      </c>
      <c r="I159" s="4" t="n">
        <v>3228</v>
      </c>
      <c r="J159" s="4" t="n">
        <v>3114</v>
      </c>
      <c r="K159" s="4" t="n">
        <v>3227</v>
      </c>
      <c r="Q159" t="inlineStr">
        <is>
          <t>kbd</t>
        </is>
      </c>
      <c r="R159" s="5">
        <f>G159*7.33/(G$3)</f>
        <v/>
      </c>
      <c r="S159" s="5">
        <f>H159*7.33/(H$3)</f>
        <v/>
      </c>
      <c r="T159" s="5">
        <f>I159*7.33/(I$3)</f>
        <v/>
      </c>
      <c r="U159" s="5">
        <f>J159*7.33/(J$3)</f>
        <v/>
      </c>
      <c r="V159" s="5">
        <f>K159*7.33/(K$3)</f>
        <v/>
      </c>
      <c r="W159" s="5">
        <f>L159*7.33/(L$3)</f>
        <v/>
      </c>
    </row>
    <row r="160">
      <c r="C160" s="6" t="inlineStr">
        <is>
          <t>LOCAL OIL PRODUCTION</t>
        </is>
      </c>
      <c r="D160" t="inlineStr">
        <is>
          <t>field_name</t>
        </is>
      </c>
      <c r="E160" t="inlineStr">
        <is>
          <t>Offshore crude</t>
        </is>
      </c>
      <c r="F160" t="inlineStr">
        <is>
          <t>kt</t>
        </is>
      </c>
      <c r="G160" s="4" t="n">
        <v>3067</v>
      </c>
      <c r="H160" s="4" t="n">
        <v>3067</v>
      </c>
      <c r="I160" s="4" t="n">
        <v>3228</v>
      </c>
      <c r="J160" s="4" t="n">
        <v>3114</v>
      </c>
      <c r="K160" s="4" t="n">
        <v>3227</v>
      </c>
      <c r="Q160" t="inlineStr">
        <is>
          <t>kbd</t>
        </is>
      </c>
      <c r="R160" s="5">
        <f>G160*7.33/(G$3)</f>
        <v/>
      </c>
      <c r="S160" s="5">
        <f>H160*7.33/(H$3)</f>
        <v/>
      </c>
      <c r="T160" s="5">
        <f>I160*7.33/(I$3)</f>
        <v/>
      </c>
      <c r="U160" s="5">
        <f>J160*7.33/(J$3)</f>
        <v/>
      </c>
      <c r="V160" s="5">
        <f>K160*7.33/(K$3)</f>
        <v/>
      </c>
      <c r="W160" s="5">
        <f>L160*7.33/(L$3)</f>
        <v/>
      </c>
    </row>
    <row r="161">
      <c r="C161" s="6" t="inlineStr">
        <is>
          <t>LOCAL OIL PRODUCTION</t>
        </is>
      </c>
      <c r="D161" t="inlineStr">
        <is>
          <t>province</t>
        </is>
      </c>
      <c r="E161" t="inlineStr">
        <is>
          <t>Xinjiang</t>
        </is>
      </c>
      <c r="F161" t="inlineStr">
        <is>
          <t>kt</t>
        </is>
      </c>
      <c r="G161" s="4" t="n">
        <v>2778.999999999999</v>
      </c>
      <c r="H161" s="4" t="n">
        <v>2778.999999999999</v>
      </c>
      <c r="I161" s="4" t="n">
        <v>2963</v>
      </c>
      <c r="J161" s="4" t="n">
        <v>2793</v>
      </c>
      <c r="K161" s="4" t="n">
        <v>2928</v>
      </c>
      <c r="Q161" t="inlineStr">
        <is>
          <t>kbd</t>
        </is>
      </c>
      <c r="R161" s="5">
        <f>G161*7.33/(G$3)</f>
        <v/>
      </c>
      <c r="S161" s="5">
        <f>H161*7.33/(H$3)</f>
        <v/>
      </c>
      <c r="T161" s="5">
        <f>I161*7.33/(I$3)</f>
        <v/>
      </c>
      <c r="U161" s="5">
        <f>J161*7.33/(J$3)</f>
        <v/>
      </c>
      <c r="V161" s="5">
        <f>K161*7.33/(K$3)</f>
        <v/>
      </c>
      <c r="W161" s="5">
        <f>L161*7.33/(L$3)</f>
        <v/>
      </c>
    </row>
    <row r="162">
      <c r="C162" s="6" t="inlineStr">
        <is>
          <t>LOCAL OIL PRODUCTION</t>
        </is>
      </c>
      <c r="D162" t="inlineStr">
        <is>
          <t>equity_owner</t>
        </is>
      </c>
      <c r="E162" t="inlineStr">
        <is>
          <t>PetroChina</t>
        </is>
      </c>
      <c r="F162" t="inlineStr">
        <is>
          <t>kt</t>
        </is>
      </c>
      <c r="G162" s="4" t="n">
        <v>2127</v>
      </c>
      <c r="H162" s="4" t="n">
        <v>2127</v>
      </c>
      <c r="I162" s="4" t="n">
        <v>2267</v>
      </c>
      <c r="J162" s="4" t="n">
        <v>2137</v>
      </c>
      <c r="K162" s="4" t="n">
        <v>2241</v>
      </c>
      <c r="Q162" t="inlineStr">
        <is>
          <t>kbd</t>
        </is>
      </c>
      <c r="R162" s="5">
        <f>G162*7.33/(G$3)</f>
        <v/>
      </c>
      <c r="S162" s="5">
        <f>H162*7.33/(H$3)</f>
        <v/>
      </c>
      <c r="T162" s="5">
        <f>I162*7.33/(I$3)</f>
        <v/>
      </c>
      <c r="U162" s="5">
        <f>J162*7.33/(J$3)</f>
        <v/>
      </c>
      <c r="V162" s="5">
        <f>K162*7.33/(K$3)</f>
        <v/>
      </c>
      <c r="W162" s="5">
        <f>L162*7.33/(L$3)</f>
        <v/>
      </c>
    </row>
    <row r="163">
      <c r="C163" s="6" t="inlineStr">
        <is>
          <t>LOCAL OIL PRODUCTION</t>
        </is>
      </c>
      <c r="D163" t="inlineStr">
        <is>
          <t>field_name</t>
        </is>
      </c>
      <c r="E163" t="inlineStr">
        <is>
          <t>Tarim Oilfield</t>
        </is>
      </c>
      <c r="F163" t="inlineStr">
        <is>
          <t>kt</t>
        </is>
      </c>
      <c r="G163" s="4" t="n">
        <v>792</v>
      </c>
      <c r="H163" s="4" t="n">
        <v>792</v>
      </c>
      <c r="I163" s="4" t="n">
        <v>845</v>
      </c>
      <c r="J163" s="4" t="n">
        <v>796</v>
      </c>
      <c r="K163" s="4" t="n">
        <v>835</v>
      </c>
      <c r="Q163" t="inlineStr">
        <is>
          <t>kbd</t>
        </is>
      </c>
      <c r="R163" s="5">
        <f>G163*7.33/(G$3)</f>
        <v/>
      </c>
      <c r="S163" s="5">
        <f>H163*7.33/(H$3)</f>
        <v/>
      </c>
      <c r="T163" s="5">
        <f>I163*7.33/(I$3)</f>
        <v/>
      </c>
      <c r="U163" s="5">
        <f>J163*7.33/(J$3)</f>
        <v/>
      </c>
      <c r="V163" s="5">
        <f>K163*7.33/(K$3)</f>
        <v/>
      </c>
      <c r="W163" s="5">
        <f>L163*7.33/(L$3)</f>
        <v/>
      </c>
    </row>
    <row r="164">
      <c r="C164" s="6" t="inlineStr">
        <is>
          <t>LOCAL OIL PRODUCTION</t>
        </is>
      </c>
      <c r="D164" t="inlineStr">
        <is>
          <t>field_name</t>
        </is>
      </c>
      <c r="E164" t="inlineStr">
        <is>
          <t>Tuha Oilfield</t>
        </is>
      </c>
      <c r="F164" t="inlineStr">
        <is>
          <t>kt</t>
        </is>
      </c>
      <c r="G164" s="4" t="n">
        <v>136</v>
      </c>
      <c r="H164" s="4" t="n">
        <v>136</v>
      </c>
      <c r="I164" s="4" t="n">
        <v>144</v>
      </c>
      <c r="J164" s="4" t="n">
        <v>136</v>
      </c>
      <c r="K164" s="4" t="n">
        <v>143</v>
      </c>
      <c r="Q164" t="inlineStr">
        <is>
          <t>kbd</t>
        </is>
      </c>
      <c r="R164" s="5">
        <f>G164*7.33/(G$3)</f>
        <v/>
      </c>
      <c r="S164" s="5">
        <f>H164*7.33/(H$3)</f>
        <v/>
      </c>
      <c r="T164" s="5">
        <f>I164*7.33/(I$3)</f>
        <v/>
      </c>
      <c r="U164" s="5">
        <f>J164*7.33/(J$3)</f>
        <v/>
      </c>
      <c r="V164" s="5">
        <f>K164*7.33/(K$3)</f>
        <v/>
      </c>
      <c r="W164" s="5">
        <f>L164*7.33/(L$3)</f>
        <v/>
      </c>
    </row>
    <row r="165">
      <c r="C165" s="6" t="inlineStr">
        <is>
          <t>LOCAL OIL PRODUCTION</t>
        </is>
      </c>
      <c r="D165" t="inlineStr">
        <is>
          <t>field_name</t>
        </is>
      </c>
      <c r="E165" t="inlineStr">
        <is>
          <t>Xinjiang Oilfield</t>
        </is>
      </c>
      <c r="F165" t="inlineStr">
        <is>
          <t>kt</t>
        </is>
      </c>
      <c r="G165" s="4" t="n">
        <v>1199</v>
      </c>
      <c r="H165" s="4" t="n">
        <v>1199</v>
      </c>
      <c r="I165" s="4" t="n">
        <v>1278</v>
      </c>
      <c r="J165" s="4" t="n">
        <v>1205</v>
      </c>
      <c r="K165" s="4" t="n">
        <v>1263</v>
      </c>
      <c r="Q165" t="inlineStr">
        <is>
          <t>kbd</t>
        </is>
      </c>
      <c r="R165" s="5">
        <f>G165*7.33/(G$3)</f>
        <v/>
      </c>
      <c r="S165" s="5">
        <f>H165*7.33/(H$3)</f>
        <v/>
      </c>
      <c r="T165" s="5">
        <f>I165*7.33/(I$3)</f>
        <v/>
      </c>
      <c r="U165" s="5">
        <f>J165*7.33/(J$3)</f>
        <v/>
      </c>
      <c r="V165" s="5">
        <f>K165*7.33/(K$3)</f>
        <v/>
      </c>
      <c r="W165" s="5">
        <f>L165*7.33/(L$3)</f>
        <v/>
      </c>
    </row>
    <row r="166">
      <c r="C166" s="6" t="inlineStr">
        <is>
          <t>LOCAL OIL PRODUCTION</t>
        </is>
      </c>
      <c r="D166" t="inlineStr">
        <is>
          <t>equity_owner</t>
        </is>
      </c>
      <c r="E166" t="inlineStr">
        <is>
          <t>Sinopec</t>
        </is>
      </c>
      <c r="F166" t="inlineStr">
        <is>
          <t>kt</t>
        </is>
      </c>
      <c r="G166" s="4" t="n">
        <v>605</v>
      </c>
      <c r="H166" s="4" t="n">
        <v>605</v>
      </c>
      <c r="I166" s="4" t="n">
        <v>645</v>
      </c>
      <c r="J166" s="4" t="n">
        <v>608</v>
      </c>
      <c r="K166" s="4" t="n">
        <v>637</v>
      </c>
      <c r="Q166" t="inlineStr">
        <is>
          <t>kbd</t>
        </is>
      </c>
      <c r="R166" s="5">
        <f>G166*7.33/(G$3)</f>
        <v/>
      </c>
      <c r="S166" s="5">
        <f>H166*7.33/(H$3)</f>
        <v/>
      </c>
      <c r="T166" s="5">
        <f>I166*7.33/(I$3)</f>
        <v/>
      </c>
      <c r="U166" s="5">
        <f>J166*7.33/(J$3)</f>
        <v/>
      </c>
      <c r="V166" s="5">
        <f>K166*7.33/(K$3)</f>
        <v/>
      </c>
      <c r="W166" s="5">
        <f>L166*7.33/(L$3)</f>
        <v/>
      </c>
    </row>
    <row r="167">
      <c r="C167" s="6" t="inlineStr">
        <is>
          <t>LOCAL OIL PRODUCTION</t>
        </is>
      </c>
      <c r="D167" t="inlineStr">
        <is>
          <t>field_name</t>
        </is>
      </c>
      <c r="E167" t="inlineStr">
        <is>
          <t>Tahe Oilfield</t>
        </is>
      </c>
      <c r="F167" t="inlineStr">
        <is>
          <t>kt</t>
        </is>
      </c>
      <c r="G167" s="4" t="n">
        <v>605</v>
      </c>
      <c r="H167" s="4" t="n">
        <v>605</v>
      </c>
      <c r="I167" s="4" t="n">
        <v>645</v>
      </c>
      <c r="J167" s="4" t="n">
        <v>608</v>
      </c>
      <c r="K167" s="4" t="n">
        <v>637</v>
      </c>
      <c r="Q167" t="inlineStr">
        <is>
          <t>kbd</t>
        </is>
      </c>
      <c r="R167" s="5">
        <f>G167*7.33/(G$3)</f>
        <v/>
      </c>
      <c r="S167" s="5">
        <f>H167*7.33/(H$3)</f>
        <v/>
      </c>
      <c r="T167" s="5">
        <f>I167*7.33/(I$3)</f>
        <v/>
      </c>
      <c r="U167" s="5">
        <f>J167*7.33/(J$3)</f>
        <v/>
      </c>
      <c r="V167" s="5">
        <f>K167*7.33/(K$3)</f>
        <v/>
      </c>
      <c r="W167" s="5">
        <f>L167*7.33/(L$3)</f>
        <v/>
      </c>
    </row>
    <row r="168">
      <c r="C168" s="6" t="inlineStr">
        <is>
          <t>LOCAL OIL PRODUCTION</t>
        </is>
      </c>
      <c r="D168" t="inlineStr">
        <is>
          <t>equity_owner</t>
        </is>
      </c>
      <c r="E168" t="inlineStr">
        <is>
          <t>Others</t>
        </is>
      </c>
      <c r="F168" t="inlineStr">
        <is>
          <t>kt</t>
        </is>
      </c>
      <c r="G168" s="4" t="n">
        <v>46.99999999999946</v>
      </c>
      <c r="H168" s="4" t="n">
        <v>46.99999999999946</v>
      </c>
      <c r="I168" s="4" t="n">
        <v>51.00000000000023</v>
      </c>
      <c r="J168" s="4" t="n">
        <v>47.99999999999997</v>
      </c>
      <c r="K168" s="4" t="n">
        <v>49.99999999999986</v>
      </c>
      <c r="Q168" t="inlineStr">
        <is>
          <t>kbd</t>
        </is>
      </c>
      <c r="R168" s="5">
        <f>G168*7.33/(G$3)</f>
        <v/>
      </c>
      <c r="S168" s="5">
        <f>H168*7.33/(H$3)</f>
        <v/>
      </c>
      <c r="T168" s="5">
        <f>I168*7.33/(I$3)</f>
        <v/>
      </c>
      <c r="U168" s="5">
        <f>J168*7.33/(J$3)</f>
        <v/>
      </c>
      <c r="V168" s="5">
        <f>K168*7.33/(K$3)</f>
        <v/>
      </c>
      <c r="W168" s="5">
        <f>L168*7.33/(L$3)</f>
        <v/>
      </c>
    </row>
    <row r="169">
      <c r="C169" s="6" t="inlineStr">
        <is>
          <t>LOCAL OIL PRODUCTION</t>
        </is>
      </c>
      <c r="D169" t="inlineStr">
        <is>
          <t>field_name</t>
        </is>
      </c>
      <c r="E169" t="inlineStr">
        <is>
          <t>Others</t>
        </is>
      </c>
      <c r="F169" t="inlineStr">
        <is>
          <t>kt</t>
        </is>
      </c>
      <c r="G169" s="4" t="n">
        <v>46.99999999999946</v>
      </c>
      <c r="H169" s="4" t="n">
        <v>46.99999999999946</v>
      </c>
      <c r="I169" s="4" t="n">
        <v>51.00000000000023</v>
      </c>
      <c r="J169" s="4" t="n">
        <v>47.99999999999997</v>
      </c>
      <c r="K169" s="4" t="n">
        <v>49.99999999999986</v>
      </c>
      <c r="Q169" t="inlineStr">
        <is>
          <t>kbd</t>
        </is>
      </c>
      <c r="R169" s="5">
        <f>G169*7.33/(G$3)</f>
        <v/>
      </c>
      <c r="S169" s="5">
        <f>H169*7.33/(H$3)</f>
        <v/>
      </c>
      <c r="T169" s="5">
        <f>I169*7.33/(I$3)</f>
        <v/>
      </c>
      <c r="U169" s="5">
        <f>J169*7.33/(J$3)</f>
        <v/>
      </c>
      <c r="V169" s="5">
        <f>K169*7.33/(K$3)</f>
        <v/>
      </c>
      <c r="W169" s="5">
        <f>L169*7.33/(L$3)</f>
        <v/>
      </c>
    </row>
    <row r="171">
      <c r="C171" s="6" t="inlineStr">
        <is>
          <t>FSU export To China (from pl)</t>
        </is>
      </c>
    </row>
    <row r="172">
      <c r="C172" s="6" t="inlineStr">
        <is>
          <t>FSU export To China (from pl)</t>
        </is>
      </c>
      <c r="E172" t="inlineStr">
        <is>
          <t>China via Kazakhstan</t>
        </is>
      </c>
      <c r="Q172" t="inlineStr">
        <is>
          <t>kbd</t>
        </is>
      </c>
      <c r="R172" s="5" t="n">
        <v>243.999</v>
      </c>
      <c r="S172" s="5" t="n">
        <v>243.902</v>
      </c>
      <c r="T172" s="5" t="n">
        <v>243.763</v>
      </c>
      <c r="U172" s="5" t="n">
        <v>243.245</v>
      </c>
      <c r="V172" s="5" t="n">
        <v>243.054</v>
      </c>
      <c r="W172" s="5" t="n">
        <v>243.074</v>
      </c>
    </row>
    <row r="173">
      <c r="C173" s="6" t="inlineStr">
        <is>
          <t>FSU export To China (from pl)</t>
        </is>
      </c>
      <c r="E173" t="inlineStr">
        <is>
          <t>China via ESPO</t>
        </is>
      </c>
      <c r="Q173" t="inlineStr">
        <is>
          <t>kbd</t>
        </is>
      </c>
      <c r="R173" s="5" t="n">
        <v>604.821</v>
      </c>
      <c r="S173" s="5" t="n">
        <v>606.846</v>
      </c>
      <c r="T173" s="5" t="n">
        <v>550.481</v>
      </c>
      <c r="U173" s="5" t="n">
        <v>607.8920000000001</v>
      </c>
      <c r="V173" s="5" t="n">
        <v>607.183</v>
      </c>
      <c r="W173" s="5" t="n">
        <v>607.184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2026-07-15T16:38:59Z</dcterms:created>
  <dcterms:modified xmlns:dcterms="http://purl.org/dc/terms/" xmlns:xsi="http://www.w3.org/2001/XMLSchema-instance" xsi:type="dcterms:W3CDTF">2026-07-15T16:38:59Z</dcterms:modified>
</cp:coreProperties>
</file>